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comments/comment2.xml" ContentType="application/vnd.openxmlformats-officedocument.spreadsheetml.comments+xml"/>
  <Override PartName="/xl/worksheets/sheet5.xml" ContentType="application/vnd.openxmlformats-officedocument.spreadsheetml.worksheet+xml"/>
  <Override PartName="/xl/comments/comment3.xml" ContentType="application/vnd.openxmlformats-officedocument.spreadsheetml.comments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w to Use" sheetId="1" state="visible" r:id="rId1"/>
    <sheet name="Summary" sheetId="2" state="visible" r:id="rId2"/>
    <sheet name="Policies" sheetId="3" state="visible" r:id="rId3"/>
    <sheet name="Beneficiaries" sheetId="4" state="visible" r:id="rId4"/>
    <sheet name="Payments" sheetId="5" state="visible" r:id="rId5"/>
    <sheet name="Lists" sheetId="6" state="visible" r:id="rId6"/>
  </sheets>
  <definedNames>
    <definedName name="_xlnm._FilterDatabase" localSheetId="2" hidden="1">'Policies'!$A$1:$V$301</definedName>
    <definedName name="_xlnm._FilterDatabase" localSheetId="3" hidden="1">'Beneficiaries'!$A$1:$G$301</definedName>
    <definedName name="_xlnm._FilterDatabase" localSheetId="4" hidden="1">'Payments'!$A$1:$F$301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$#,##0;($#,##0);&quot;-&quot;"/>
    <numFmt numFmtId="165" formatCode="$#,##0.00;($#,##0.00);&quot;-&quot;"/>
    <numFmt numFmtId="166" formatCode="mm/dd/yyyy"/>
    <numFmt numFmtId="167" formatCode="0;&quot;Overdue &quot;0;&quot;Today&quot;"/>
    <numFmt numFmtId="168" formatCode="0%;-0%;&quot;-&quot;"/>
  </numFmts>
  <fonts count="11">
    <font>
      <name val="Calibri"/>
      <family val="2"/>
      <color theme="1"/>
      <sz val="11"/>
      <scheme val="minor"/>
    </font>
    <font>
      <name val="Arial"/>
      <b val="1"/>
      <color rgb="001F3864"/>
      <sz val="16"/>
    </font>
    <font>
      <name val="Arial"/>
    </font>
    <font>
      <name val="Arial"/>
      <b val="1"/>
      <sz val="12"/>
    </font>
    <font>
      <name val="Arial"/>
      <color rgb="000000FF"/>
    </font>
    <font>
      <name val="Arial"/>
      <i val="1"/>
      <color rgb="000000FF"/>
    </font>
    <font>
      <name val="Arial"/>
      <b val="1"/>
      <color rgb="00FFFFFF"/>
    </font>
    <font>
      <name val="Arial"/>
      <color rgb="00000000"/>
    </font>
    <font>
      <name val="Arial"/>
      <i val="1"/>
      <color rgb="00808080"/>
    </font>
    <font>
      <name val="Arial"/>
      <b val="1"/>
      <color rgb="001F3864"/>
      <sz val="14"/>
    </font>
    <font>
      <name val="Arial"/>
      <b val="1"/>
    </font>
  </fonts>
  <fills count="5">
    <fill>
      <patternFill/>
    </fill>
    <fill>
      <patternFill patternType="gray125"/>
    </fill>
    <fill>
      <patternFill patternType="solid">
        <fgColor rgb="00FFF9E5"/>
      </patternFill>
    </fill>
    <fill>
      <patternFill patternType="solid">
        <fgColor rgb="00EDEDED"/>
      </patternFill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2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9" fillId="0" borderId="0" pivotButton="0" quotePrefix="0" xfId="0"/>
    <xf numFmtId="0" fontId="8" fillId="0" borderId="0" pivotButton="0" quotePrefix="0" xfId="0"/>
    <xf numFmtId="0" fontId="6" fillId="4" borderId="0" pivotButton="0" quotePrefix="0" xfId="0"/>
    <xf numFmtId="0" fontId="0" fillId="4" borderId="0" pivotButton="0" quotePrefix="0" xfId="0"/>
    <xf numFmtId="0" fontId="2" fillId="0" borderId="1" pivotButton="0" quotePrefix="0" xfId="0"/>
    <xf numFmtId="1" fontId="10" fillId="0" borderId="1" pivotButton="0" quotePrefix="0" xfId="0"/>
    <xf numFmtId="164" fontId="10" fillId="0" borderId="1" pivotButton="0" quotePrefix="0" xfId="0"/>
    <xf numFmtId="165" fontId="10" fillId="0" borderId="1" pivotButton="0" quotePrefix="0" xfId="0"/>
    <xf numFmtId="1" fontId="2" fillId="0" borderId="1" pivotButton="0" quotePrefix="0" xfId="0"/>
    <xf numFmtId="164" fontId="2" fillId="0" borderId="1" pivotButton="0" quotePrefix="0" xfId="0"/>
    <xf numFmtId="165" fontId="2" fillId="0" borderId="1" pivotButton="0" quotePrefix="0" xfId="0"/>
    <xf numFmtId="0" fontId="6" fillId="4" borderId="1" applyAlignment="1" pivotButton="0" quotePrefix="0" xfId="0">
      <alignment horizontal="center" vertical="center" wrapText="1"/>
    </xf>
    <xf numFmtId="0" fontId="5" fillId="2" borderId="1" pivotButton="0" quotePrefix="0" xfId="0"/>
    <xf numFmtId="164" fontId="5" fillId="2" borderId="1" pivotButton="0" quotePrefix="0" xfId="0"/>
    <xf numFmtId="165" fontId="5" fillId="2" borderId="1" pivotButton="0" quotePrefix="0" xfId="0"/>
    <xf numFmtId="165" fontId="7" fillId="3" borderId="1" pivotButton="0" quotePrefix="0" xfId="0"/>
    <xf numFmtId="166" fontId="5" fillId="2" borderId="1" pivotButton="0" quotePrefix="0" xfId="0"/>
    <xf numFmtId="1" fontId="5" fillId="2" borderId="1" pivotButton="0" quotePrefix="0" xfId="0"/>
    <xf numFmtId="166" fontId="7" fillId="3" borderId="1" pivotButton="0" quotePrefix="0" xfId="0"/>
    <xf numFmtId="167" fontId="7" fillId="3" borderId="1" pivotButton="0" quotePrefix="0" xfId="0"/>
    <xf numFmtId="168" fontId="7" fillId="3" borderId="1" pivotButton="0" quotePrefix="0" xfId="0"/>
    <xf numFmtId="0" fontId="4" fillId="2" borderId="1" pivotButton="0" quotePrefix="0" xfId="0"/>
    <xf numFmtId="164" fontId="4" fillId="2" borderId="1" pivotButton="0" quotePrefix="0" xfId="0"/>
    <xf numFmtId="165" fontId="4" fillId="2" borderId="1" pivotButton="0" quotePrefix="0" xfId="0"/>
    <xf numFmtId="166" fontId="4" fillId="2" borderId="1" pivotButton="0" quotePrefix="0" xfId="0"/>
    <xf numFmtId="1" fontId="4" fillId="2" borderId="1" pivotButton="0" quotePrefix="0" xfId="0"/>
    <xf numFmtId="168" fontId="5" fillId="2" borderId="1" pivotButton="0" quotePrefix="0" xfId="0"/>
    <xf numFmtId="0" fontId="7" fillId="3" borderId="1" pivotButton="0" quotePrefix="0" xfId="0"/>
    <xf numFmtId="168" fontId="4" fillId="2" borderId="1" pivotButton="0" quotePrefix="0" xfId="0"/>
    <xf numFmtId="0" fontId="4" fillId="0" borderId="0" pivotButton="0" quotePrefix="0" xfId="0"/>
  </cellXfs>
  <cellStyles count="1">
    <cellStyle name="Normal" xfId="0" builtinId="0" hidden="0"/>
  </cellStyles>
  <dxfs count="4">
    <dxf>
      <font>
        <name val="Arial"/>
        <b val="1"/>
        <color rgb="009C0006"/>
      </font>
      <fill>
        <patternFill patternType="solid">
          <fgColor rgb="00F8CBAD"/>
        </patternFill>
      </fill>
    </dxf>
    <dxf>
      <fill>
        <patternFill patternType="solid">
          <fgColor rgb="00FFE699"/>
        </patternFill>
      </fill>
    </dxf>
    <dxf>
      <font>
        <name val="Arial"/>
        <b val="1"/>
        <color rgb="00C00000"/>
      </font>
    </dxf>
    <dxf>
      <font>
        <name val="Arial"/>
        <b val="1"/>
        <color rgb="0000610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omments/comment1.xml><?xml version="1.0" encoding="utf-8"?>
<comments xmlns="http://schemas.openxmlformats.org/spreadsheetml/2006/main">
  <authors>
    <author>Tracker</author>
  </authors>
  <commentList>
    <comment ref="J1" authorId="0" shapeId="0">
      <text>
        <t>Calculated automatically - do not type here.</t>
      </text>
    </comment>
    <comment ref="N1" authorId="0" shapeId="0">
      <text>
        <t>Calculated automatically - do not type here.</t>
      </text>
    </comment>
    <comment ref="R1" authorId="0" shapeId="0">
      <text>
        <t>Calculated automatically - do not type here.</t>
      </text>
    </comment>
    <comment ref="S1" authorId="0" shapeId="0">
      <text>
        <t>Calculated automatically - do not type here.</t>
      </text>
    </comment>
    <comment ref="T1" authorId="0" shapeId="0">
      <text>
        <t>Calculated automatically - do not type here.</t>
      </text>
    </comment>
  </commentList>
</comments>
</file>

<file path=xl/comments/comment2.xml><?xml version="1.0" encoding="utf-8"?>
<comments xmlns="http://schemas.openxmlformats.org/spreadsheetml/2006/main">
  <authors>
    <author>Tracker</author>
  </authors>
  <commentList>
    <comment ref="F1" authorId="0" shapeId="0">
      <text>
        <t>Calculated automatically - do not type here.</t>
      </text>
    </comment>
  </commentList>
</comments>
</file>

<file path=xl/comments/comment3.xml><?xml version="1.0" encoding="utf-8"?>
<comments xmlns="http://schemas.openxmlformats.org/spreadsheetml/2006/main">
  <authors>
    <author>Tracker</author>
  </authors>
  <commentList>
    <comment ref="E1" authorId="0" shapeId="0">
      <text>
        <t>Calculated automatically - do not type here.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23"/>
  <sheetViews>
    <sheetView workbookViewId="0">
      <selection activeCell="A1" sqref="A1"/>
    </sheetView>
  </sheetViews>
  <sheetFormatPr baseColWidth="8" defaultRowHeight="15"/>
  <cols>
    <col width="3" customWidth="1" min="1" max="1"/>
    <col width="110" customWidth="1" min="2" max="2"/>
  </cols>
  <sheetData>
    <row r="1">
      <c r="B1" s="1" t="inlineStr">
        <is>
          <t>Life Insurance Tracker</t>
        </is>
      </c>
    </row>
    <row r="2">
      <c r="B2" s="2" t="inlineStr"/>
    </row>
    <row r="3">
      <c r="B3" s="3" t="inlineStr">
        <is>
          <t>What goes where</t>
        </is>
      </c>
    </row>
    <row r="4">
      <c r="B4" s="2" t="inlineStr">
        <is>
          <t>Policies - one row per policy. Policy Number is the key that links everything together.</t>
        </is>
      </c>
    </row>
    <row r="5">
      <c r="B5" s="2" t="inlineStr">
        <is>
          <t>Beneficiaries - one row per beneficiary. Use the same Policy Number as on the Policies sheet.</t>
        </is>
      </c>
    </row>
    <row r="6">
      <c r="B6" s="2" t="inlineStr">
        <is>
          <t>Payments - log each premium payment with its Policy Number; totals roll up to Policies automatically.</t>
        </is>
      </c>
    </row>
    <row r="7">
      <c r="B7" s="2" t="inlineStr">
        <is>
          <t>Summary - read-only dashboard: coverage in force, premiums, what's due or overdue.</t>
        </is>
      </c>
    </row>
    <row r="8">
      <c r="B8" s="2" t="inlineStr">
        <is>
          <t>Lists - the dropdown options. Add or rename items here (e.g. new carriers' product types or statuses).</t>
        </is>
      </c>
    </row>
    <row r="9">
      <c r="B9" s="2" t="inlineStr"/>
    </row>
    <row r="10">
      <c r="B10" s="3" t="inlineStr">
        <is>
          <t>Color legend</t>
        </is>
      </c>
    </row>
    <row r="11">
      <c r="B11" s="4" t="inlineStr">
        <is>
          <t>Cream cells with blue text = you type here.</t>
        </is>
      </c>
    </row>
    <row r="12">
      <c r="B12" s="5" t="inlineStr">
        <is>
          <t>Grey cells = calculated automatically. Don't type over them.</t>
        </is>
      </c>
    </row>
    <row r="13">
      <c r="B13" s="6" t="inlineStr">
        <is>
          <t>Blue italic rows marked EXAMPLE ROW show the expected format - overwrite or delete them.</t>
        </is>
      </c>
    </row>
    <row r="14">
      <c r="B14" s="2" t="inlineStr"/>
    </row>
    <row r="15">
      <c r="B15" s="3" t="inlineStr">
        <is>
          <t>Highlights on the Policies sheet</t>
        </is>
      </c>
    </row>
    <row r="16">
      <c r="B16" s="2" t="inlineStr">
        <is>
          <t>Days Until Due: red = overdue, amber = due within 14 days. Update Next Premium Due after each payment.</t>
        </is>
      </c>
    </row>
    <row r="17">
      <c r="B17" s="2" t="inlineStr">
        <is>
          <t>Primary Benef. %: red text when primary beneficiary shares for that policy don't add up to 100%.</t>
        </is>
      </c>
    </row>
    <row r="18">
      <c r="B18" s="2" t="inlineStr">
        <is>
          <t>Status: green = In Force; red = Lapsed / Cancelled / Declined.</t>
        </is>
      </c>
    </row>
    <row r="19">
      <c r="B19" s="2" t="inlineStr"/>
    </row>
    <row r="20">
      <c r="B20" s="3" t="inlineStr">
        <is>
          <t>Tips</t>
        </is>
      </c>
    </row>
    <row r="21">
      <c r="B21" s="2" t="inlineStr">
        <is>
          <t>Use the filter arrows in the header row to sort or filter (e.g. show only In Force).</t>
        </is>
      </c>
    </row>
    <row r="22">
      <c r="B22" s="2" t="inlineStr">
        <is>
          <t>Term Ends is calculated from Issue Date + Term Length (Yrs); leave Term Length blank for permanent policies.</t>
        </is>
      </c>
    </row>
    <row r="23">
      <c r="B23" s="2" t="inlineStr">
        <is>
          <t>Don't store full bank account or Social Security numbers in this file.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cols>
    <col width="34" customWidth="1" min="1" max="1"/>
    <col width="18" customWidth="1" min="2" max="2"/>
    <col width="18" customWidth="1" min="3" max="3"/>
    <col width="18" customWidth="1" min="4" max="4"/>
  </cols>
  <sheetData>
    <row r="1">
      <c r="A1" s="7" t="inlineStr">
        <is>
          <t>Life Insurance Tracker - Summary</t>
        </is>
      </c>
    </row>
    <row r="2">
      <c r="A2" s="8">
        <f>"As of "&amp;TEXT(TODAY(),"mmm d, yyyy")</f>
        <v/>
      </c>
    </row>
    <row r="4">
      <c r="A4" s="9" t="inlineStr">
        <is>
          <t>Key figures</t>
        </is>
      </c>
      <c r="B4" s="10" t="n"/>
    </row>
    <row r="5">
      <c r="A5" s="11" t="inlineStr">
        <is>
          <t>Policies tracked</t>
        </is>
      </c>
      <c r="B5" s="12">
        <f>COUNTA(Policies!$A$2:$A$301)</f>
        <v/>
      </c>
    </row>
    <row r="6">
      <c r="A6" s="11" t="inlineStr">
        <is>
          <t>Policies in force</t>
        </is>
      </c>
      <c r="B6" s="12">
        <f>COUNTIFS(Policies!$F$2:$F$301,"In Force")</f>
        <v/>
      </c>
    </row>
    <row r="7">
      <c r="A7" s="11" t="inlineStr">
        <is>
          <t>Total coverage in force</t>
        </is>
      </c>
      <c r="B7" s="13">
        <f>SUMIFS(Policies!$G$2:$G$301,Policies!$F$2:$F$301,"In Force")</f>
        <v/>
      </c>
    </row>
    <row r="8">
      <c r="A8" s="11" t="inlineStr">
        <is>
          <t>Annual premium (in force)</t>
        </is>
      </c>
      <c r="B8" s="14">
        <f>SUMIFS(Policies!$J$2:$J$301,Policies!$F$2:$F$301,"In Force")</f>
        <v/>
      </c>
    </row>
    <row r="9">
      <c r="A9" s="11" t="inlineStr">
        <is>
          <t>Monthly equivalent</t>
        </is>
      </c>
      <c r="B9" s="14">
        <f>B8/12</f>
        <v/>
      </c>
    </row>
    <row r="10">
      <c r="A10" s="11" t="inlineStr">
        <is>
          <t>Premiums overdue</t>
        </is>
      </c>
      <c r="B10" s="12">
        <f>COUNTIFS(Policies!$R$2:$R$301,"&lt;0",Policies!$F$2:$F$301,"In Force")</f>
        <v/>
      </c>
    </row>
    <row r="11">
      <c r="A11" s="11" t="inlineStr">
        <is>
          <t>Premiums due in next 14 days</t>
        </is>
      </c>
      <c r="B11" s="12">
        <f>COUNTIFS(Policies!$R$2:$R$301,"&gt;=0",Policies!$R$2:$R$301,"&lt;=14",Policies!$F$2:$F$301,"In Force")</f>
        <v/>
      </c>
    </row>
    <row r="12">
      <c r="A12" s="11" t="inlineStr">
        <is>
          <t>Policies w/ primary beneficiaries &lt;&gt; 100%</t>
        </is>
      </c>
      <c r="B12" s="12">
        <f>SUMPRODUCT((Policies!$A$2:$A$301&lt;&gt;"")*ISNUMBER(Policies!$T$2:$T$301)*(ROUND(N(+Policies!$T$2:$T$301),4)&lt;&gt;1))</f>
        <v/>
      </c>
    </row>
    <row r="13">
      <c r="A13" s="11" t="inlineStr">
        <is>
          <t>Total premiums paid (all time)</t>
        </is>
      </c>
      <c r="B13" s="14">
        <f>SUM(Payments!$C$2:$C$301)</f>
        <v/>
      </c>
    </row>
    <row r="16">
      <c r="A16" s="9" t="inlineStr">
        <is>
          <t>By status</t>
        </is>
      </c>
      <c r="B16" s="9" t="inlineStr">
        <is>
          <t>Policies</t>
        </is>
      </c>
      <c r="C16" s="9" t="inlineStr">
        <is>
          <t>Face amount</t>
        </is>
      </c>
      <c r="D16" s="9" t="inlineStr">
        <is>
          <t>Annual premium</t>
        </is>
      </c>
    </row>
    <row r="17">
      <c r="A17" s="11" t="inlineStr">
        <is>
          <t>Quoted</t>
        </is>
      </c>
      <c r="B17" s="15">
        <f>COUNTIFS(Policies!$F$2:$F$301,A17)</f>
        <v/>
      </c>
      <c r="C17" s="16">
        <f>SUMIFS(Policies!$G$2:$G$301,Policies!$F$2:$F$301,A17)</f>
        <v/>
      </c>
      <c r="D17" s="17">
        <f>SUMIFS(Policies!$J$2:$J$301,Policies!$F$2:$F$301,A17)</f>
        <v/>
      </c>
    </row>
    <row r="18">
      <c r="A18" s="11" t="inlineStr">
        <is>
          <t>Application Submitted</t>
        </is>
      </c>
      <c r="B18" s="15">
        <f>COUNTIFS(Policies!$F$2:$F$301,A18)</f>
        <v/>
      </c>
      <c r="C18" s="16">
        <f>SUMIFS(Policies!$G$2:$G$301,Policies!$F$2:$F$301,A18)</f>
        <v/>
      </c>
      <c r="D18" s="17">
        <f>SUMIFS(Policies!$J$2:$J$301,Policies!$F$2:$F$301,A18)</f>
        <v/>
      </c>
    </row>
    <row r="19">
      <c r="A19" s="11" t="inlineStr">
        <is>
          <t>Underwriting</t>
        </is>
      </c>
      <c r="B19" s="15">
        <f>COUNTIFS(Policies!$F$2:$F$301,A19)</f>
        <v/>
      </c>
      <c r="C19" s="16">
        <f>SUMIFS(Policies!$G$2:$G$301,Policies!$F$2:$F$301,A19)</f>
        <v/>
      </c>
      <c r="D19" s="17">
        <f>SUMIFS(Policies!$J$2:$J$301,Policies!$F$2:$F$301,A19)</f>
        <v/>
      </c>
    </row>
    <row r="20">
      <c r="A20" s="11" t="inlineStr">
        <is>
          <t>Approved</t>
        </is>
      </c>
      <c r="B20" s="15">
        <f>COUNTIFS(Policies!$F$2:$F$301,A20)</f>
        <v/>
      </c>
      <c r="C20" s="16">
        <f>SUMIFS(Policies!$G$2:$G$301,Policies!$F$2:$F$301,A20)</f>
        <v/>
      </c>
      <c r="D20" s="17">
        <f>SUMIFS(Policies!$J$2:$J$301,Policies!$F$2:$F$301,A20)</f>
        <v/>
      </c>
    </row>
    <row r="21">
      <c r="A21" s="11" t="inlineStr">
        <is>
          <t>In Force</t>
        </is>
      </c>
      <c r="B21" s="15">
        <f>COUNTIFS(Policies!$F$2:$F$301,A21)</f>
        <v/>
      </c>
      <c r="C21" s="16">
        <f>SUMIFS(Policies!$G$2:$G$301,Policies!$F$2:$F$301,A21)</f>
        <v/>
      </c>
      <c r="D21" s="17">
        <f>SUMIFS(Policies!$J$2:$J$301,Policies!$F$2:$F$301,A21)</f>
        <v/>
      </c>
    </row>
    <row r="22">
      <c r="A22" s="11" t="inlineStr">
        <is>
          <t>Lapsed</t>
        </is>
      </c>
      <c r="B22" s="15">
        <f>COUNTIFS(Policies!$F$2:$F$301,A22)</f>
        <v/>
      </c>
      <c r="C22" s="16">
        <f>SUMIFS(Policies!$G$2:$G$301,Policies!$F$2:$F$301,A22)</f>
        <v/>
      </c>
      <c r="D22" s="17">
        <f>SUMIFS(Policies!$J$2:$J$301,Policies!$F$2:$F$301,A22)</f>
        <v/>
      </c>
    </row>
    <row r="23">
      <c r="A23" s="11" t="inlineStr">
        <is>
          <t>Cancelled</t>
        </is>
      </c>
      <c r="B23" s="15">
        <f>COUNTIFS(Policies!$F$2:$F$301,A23)</f>
        <v/>
      </c>
      <c r="C23" s="16">
        <f>SUMIFS(Policies!$G$2:$G$301,Policies!$F$2:$F$301,A23)</f>
        <v/>
      </c>
      <c r="D23" s="17">
        <f>SUMIFS(Policies!$J$2:$J$301,Policies!$F$2:$F$301,A23)</f>
        <v/>
      </c>
    </row>
    <row r="24">
      <c r="A24" s="11" t="inlineStr">
        <is>
          <t>Declined</t>
        </is>
      </c>
      <c r="B24" s="15">
        <f>COUNTIFS(Policies!$F$2:$F$301,A24)</f>
        <v/>
      </c>
      <c r="C24" s="16">
        <f>SUMIFS(Policies!$G$2:$G$301,Policies!$F$2:$F$301,A24)</f>
        <v/>
      </c>
      <c r="D24" s="17">
        <f>SUMIFS(Policies!$J$2:$J$301,Policies!$F$2:$F$301,A24)</f>
        <v/>
      </c>
    </row>
    <row r="25">
      <c r="A25" s="11" t="inlineStr">
        <is>
          <t>Paid Out</t>
        </is>
      </c>
      <c r="B25" s="15">
        <f>COUNTIFS(Policies!$F$2:$F$301,A25)</f>
        <v/>
      </c>
      <c r="C25" s="16">
        <f>SUMIFS(Policies!$G$2:$G$301,Policies!$F$2:$F$301,A25)</f>
        <v/>
      </c>
      <c r="D25" s="17">
        <f>SUMIFS(Policies!$J$2:$J$301,Policies!$F$2:$F$301,A25)</f>
        <v/>
      </c>
    </row>
    <row r="28">
      <c r="A28" s="9" t="inlineStr">
        <is>
          <t>By policy type</t>
        </is>
      </c>
      <c r="B28" s="9" t="inlineStr">
        <is>
          <t>Policies</t>
        </is>
      </c>
      <c r="C28" s="9" t="inlineStr">
        <is>
          <t>Face amount</t>
        </is>
      </c>
      <c r="D28" s="9" t="inlineStr">
        <is>
          <t>Annual premium</t>
        </is>
      </c>
    </row>
    <row r="29">
      <c r="A29" s="11" t="inlineStr">
        <is>
          <t>Term</t>
        </is>
      </c>
      <c r="B29" s="15">
        <f>COUNTIFS(Policies!$E$2:$E$301,A29)</f>
        <v/>
      </c>
      <c r="C29" s="16">
        <f>SUMIFS(Policies!$G$2:$G$301,Policies!$E$2:$E$301,A29)</f>
        <v/>
      </c>
      <c r="D29" s="17">
        <f>SUMIFS(Policies!$J$2:$J$301,Policies!$E$2:$E$301,A29)</f>
        <v/>
      </c>
    </row>
    <row r="30">
      <c r="A30" s="11" t="inlineStr">
        <is>
          <t>Whole Life</t>
        </is>
      </c>
      <c r="B30" s="15">
        <f>COUNTIFS(Policies!$E$2:$E$301,A30)</f>
        <v/>
      </c>
      <c r="C30" s="16">
        <f>SUMIFS(Policies!$G$2:$G$301,Policies!$E$2:$E$301,A30)</f>
        <v/>
      </c>
      <c r="D30" s="17">
        <f>SUMIFS(Policies!$J$2:$J$301,Policies!$E$2:$E$301,A30)</f>
        <v/>
      </c>
    </row>
    <row r="31">
      <c r="A31" s="11" t="inlineStr">
        <is>
          <t>Universal Life</t>
        </is>
      </c>
      <c r="B31" s="15">
        <f>COUNTIFS(Policies!$E$2:$E$301,A31)</f>
        <v/>
      </c>
      <c r="C31" s="16">
        <f>SUMIFS(Policies!$G$2:$G$301,Policies!$E$2:$E$301,A31)</f>
        <v/>
      </c>
      <c r="D31" s="17">
        <f>SUMIFS(Policies!$J$2:$J$301,Policies!$E$2:$E$301,A31)</f>
        <v/>
      </c>
    </row>
    <row r="32">
      <c r="A32" s="11" t="inlineStr">
        <is>
          <t>Indexed UL</t>
        </is>
      </c>
      <c r="B32" s="15">
        <f>COUNTIFS(Policies!$E$2:$E$301,A32)</f>
        <v/>
      </c>
      <c r="C32" s="16">
        <f>SUMIFS(Policies!$G$2:$G$301,Policies!$E$2:$E$301,A32)</f>
        <v/>
      </c>
      <c r="D32" s="17">
        <f>SUMIFS(Policies!$J$2:$J$301,Policies!$E$2:$E$301,A32)</f>
        <v/>
      </c>
    </row>
    <row r="33">
      <c r="A33" s="11" t="inlineStr">
        <is>
          <t>Variable UL</t>
        </is>
      </c>
      <c r="B33" s="15">
        <f>COUNTIFS(Policies!$E$2:$E$301,A33)</f>
        <v/>
      </c>
      <c r="C33" s="16">
        <f>SUMIFS(Policies!$G$2:$G$301,Policies!$E$2:$E$301,A33)</f>
        <v/>
      </c>
      <c r="D33" s="17">
        <f>SUMIFS(Policies!$J$2:$J$301,Policies!$E$2:$E$301,A33)</f>
        <v/>
      </c>
    </row>
    <row r="34">
      <c r="A34" s="11" t="inlineStr">
        <is>
          <t>Final Expense</t>
        </is>
      </c>
      <c r="B34" s="15">
        <f>COUNTIFS(Policies!$E$2:$E$301,A34)</f>
        <v/>
      </c>
      <c r="C34" s="16">
        <f>SUMIFS(Policies!$G$2:$G$301,Policies!$E$2:$E$301,A34)</f>
        <v/>
      </c>
      <c r="D34" s="17">
        <f>SUMIFS(Policies!$J$2:$J$301,Policies!$E$2:$E$301,A34)</f>
        <v/>
      </c>
    </row>
    <row r="35">
      <c r="A35" s="11" t="inlineStr">
        <is>
          <t>Group / Employer</t>
        </is>
      </c>
      <c r="B35" s="15">
        <f>COUNTIFS(Policies!$E$2:$E$301,A35)</f>
        <v/>
      </c>
      <c r="C35" s="16">
        <f>SUMIFS(Policies!$G$2:$G$301,Policies!$E$2:$E$301,A35)</f>
        <v/>
      </c>
      <c r="D35" s="17">
        <f>SUMIFS(Policies!$J$2:$J$301,Policies!$E$2:$E$301,A35)</f>
        <v/>
      </c>
    </row>
    <row r="36">
      <c r="A36" s="11" t="inlineStr">
        <is>
          <t>Other</t>
        </is>
      </c>
      <c r="B36" s="15">
        <f>COUNTIFS(Policies!$E$2:$E$301,A36)</f>
        <v/>
      </c>
      <c r="C36" s="16">
        <f>SUMIFS(Policies!$G$2:$G$301,Policies!$E$2:$E$301,A36)</f>
        <v/>
      </c>
      <c r="D36" s="17">
        <f>SUMIFS(Policies!$J$2:$J$301,Policies!$E$2:$E$301,A36)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30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20" customWidth="1" min="2" max="2"/>
    <col width="20" customWidth="1" min="3" max="3"/>
    <col width="22" customWidth="1" min="4" max="4"/>
    <col width="16" customWidth="1" min="5" max="5"/>
    <col width="20" customWidth="1" min="6" max="6"/>
    <col width="14" customWidth="1" min="7" max="7"/>
    <col width="12" customWidth="1" min="8" max="8"/>
    <col width="12" customWidth="1" min="9" max="9"/>
    <col width="14" customWidth="1" min="10" max="10"/>
    <col width="13" customWidth="1" min="11" max="11"/>
    <col width="13" customWidth="1" min="12" max="12"/>
    <col width="10" customWidth="1" min="13" max="13"/>
    <col width="13" customWidth="1" min="14" max="14"/>
    <col width="16" customWidth="1" min="15" max="15"/>
    <col width="10" customWidth="1" min="16" max="16"/>
    <col width="13" customWidth="1" min="17" max="17"/>
    <col width="10" customWidth="1" min="18" max="18"/>
    <col width="13" customWidth="1" min="19" max="19"/>
    <col width="10" customWidth="1" min="20" max="20"/>
    <col width="20" customWidth="1" min="21" max="21"/>
    <col width="36" customWidth="1" min="22" max="22"/>
  </cols>
  <sheetData>
    <row r="1" ht="32" customHeight="1">
      <c r="A1" s="18" t="inlineStr">
        <is>
          <t>Policy Number</t>
        </is>
      </c>
      <c r="B1" s="18" t="inlineStr">
        <is>
          <t>Insured</t>
        </is>
      </c>
      <c r="C1" s="18" t="inlineStr">
        <is>
          <t>Owner</t>
        </is>
      </c>
      <c r="D1" s="18" t="inlineStr">
        <is>
          <t>Carrier</t>
        </is>
      </c>
      <c r="E1" s="18" t="inlineStr">
        <is>
          <t>Policy Type</t>
        </is>
      </c>
      <c r="F1" s="18" t="inlineStr">
        <is>
          <t>Status</t>
        </is>
      </c>
      <c r="G1" s="18" t="inlineStr">
        <is>
          <t>Face Amount</t>
        </is>
      </c>
      <c r="H1" s="18" t="inlineStr">
        <is>
          <t>Premium</t>
        </is>
      </c>
      <c r="I1" s="18" t="inlineStr">
        <is>
          <t>Frequency</t>
        </is>
      </c>
      <c r="J1" s="18" t="inlineStr">
        <is>
          <t>Annual Premium</t>
        </is>
      </c>
      <c r="K1" s="18" t="inlineStr">
        <is>
          <t>Application Date</t>
        </is>
      </c>
      <c r="L1" s="18" t="inlineStr">
        <is>
          <t>Issue Date</t>
        </is>
      </c>
      <c r="M1" s="18" t="inlineStr">
        <is>
          <t>Term Length (Yrs)</t>
        </is>
      </c>
      <c r="N1" s="18" t="inlineStr">
        <is>
          <t>Term Ends</t>
        </is>
      </c>
      <c r="O1" s="18" t="inlineStr">
        <is>
          <t>Payment Method</t>
        </is>
      </c>
      <c r="P1" s="18" t="inlineStr">
        <is>
          <t>Draft Day of Month</t>
        </is>
      </c>
      <c r="Q1" s="18" t="inlineStr">
        <is>
          <t>Next Premium Due</t>
        </is>
      </c>
      <c r="R1" s="18" t="inlineStr">
        <is>
          <t>Days Until Due</t>
        </is>
      </c>
      <c r="S1" s="18" t="inlineStr">
        <is>
          <t>Total Paid</t>
        </is>
      </c>
      <c r="T1" s="18" t="inlineStr">
        <is>
          <t>Primary Benef. %</t>
        </is>
      </c>
      <c r="U1" s="18" t="inlineStr">
        <is>
          <t>Agent / Contact</t>
        </is>
      </c>
      <c r="V1" s="18" t="inlineStr">
        <is>
          <t>Notes</t>
        </is>
      </c>
    </row>
    <row r="2">
      <c r="A2" s="19" t="inlineStr">
        <is>
          <t>EX-0001</t>
        </is>
      </c>
      <c r="B2" s="19" t="inlineStr">
        <is>
          <t>Jane Example</t>
        </is>
      </c>
      <c r="C2" s="19" t="inlineStr">
        <is>
          <t>Jane Example</t>
        </is>
      </c>
      <c r="D2" s="19" t="inlineStr">
        <is>
          <t>Example Life Co.</t>
        </is>
      </c>
      <c r="E2" s="19" t="inlineStr">
        <is>
          <t>Term</t>
        </is>
      </c>
      <c r="F2" s="19" t="inlineStr">
        <is>
          <t>In Force</t>
        </is>
      </c>
      <c r="G2" s="20" t="n">
        <v>500000</v>
      </c>
      <c r="H2" s="21" t="n">
        <v>42.5</v>
      </c>
      <c r="I2" s="19" t="inlineStr">
        <is>
          <t>Monthly</t>
        </is>
      </c>
      <c r="J2" s="22">
        <f>IF(OR(H2="",I2=""),"",IF(I2="Single Pay",0,H2*IFERROR(INDEX(Lists!$D$2:$D$6,MATCH(I2,Lists!$C$2:$C$6,0)),0)))</f>
        <v/>
      </c>
      <c r="K2" s="23" t="n">
        <v>45717</v>
      </c>
      <c r="L2" s="23" t="n">
        <v>45762</v>
      </c>
      <c r="M2" s="24" t="n">
        <v>20</v>
      </c>
      <c r="N2" s="25">
        <f>IF(OR(L2="",M2=""),"",EDATE(L2,12*M2))</f>
        <v/>
      </c>
      <c r="O2" s="19" t="inlineStr">
        <is>
          <t>Bank Draft</t>
        </is>
      </c>
      <c r="P2" s="24" t="n">
        <v>15</v>
      </c>
      <c r="Q2" s="23" t="n">
        <v>46310</v>
      </c>
      <c r="R2" s="26">
        <f>IF(Q2="","",Q2-TODAY())</f>
        <v/>
      </c>
      <c r="S2" s="22">
        <f>IF(A2="","",SUMIFS(Payments!$C$2:$C$301,Payments!$B$2:$B$301,A2))</f>
        <v/>
      </c>
      <c r="T2" s="27">
        <f>IF(A2="","",SUMIFS(Beneficiaries!$E$2:$E$301,Beneficiaries!$A$2:$A$301,A2,Beneficiaries!$D$2:$D$301,"Primary"))</f>
        <v/>
      </c>
      <c r="U2" s="19" t="inlineStr">
        <is>
          <t>Sam Agent (555) 010-0000</t>
        </is>
      </c>
      <c r="V2" s="19" t="inlineStr">
        <is>
          <t>EXAMPLE ROW - overwrite or delete</t>
        </is>
      </c>
    </row>
    <row r="3">
      <c r="A3" s="28" t="n"/>
      <c r="B3" s="28" t="n"/>
      <c r="C3" s="28" t="n"/>
      <c r="D3" s="28" t="n"/>
      <c r="E3" s="28" t="n"/>
      <c r="F3" s="28" t="n"/>
      <c r="G3" s="29" t="n"/>
      <c r="H3" s="30" t="n"/>
      <c r="I3" s="28" t="n"/>
      <c r="J3" s="22">
        <f>IF(OR(H3="",I3=""),"",IF(I3="Single Pay",0,H3*IFERROR(INDEX(Lists!$D$2:$D$6,MATCH(I3,Lists!$C$2:$C$6,0)),0)))</f>
        <v/>
      </c>
      <c r="K3" s="31" t="n"/>
      <c r="L3" s="31" t="n"/>
      <c r="M3" s="32" t="n"/>
      <c r="N3" s="25">
        <f>IF(OR(L3="",M3=""),"",EDATE(L3,12*M3))</f>
        <v/>
      </c>
      <c r="O3" s="28" t="n"/>
      <c r="P3" s="32" t="n"/>
      <c r="Q3" s="31" t="n"/>
      <c r="R3" s="26">
        <f>IF(Q3="","",Q3-TODAY())</f>
        <v/>
      </c>
      <c r="S3" s="22">
        <f>IF(A3="","",SUMIFS(Payments!$C$2:$C$301,Payments!$B$2:$B$301,A3))</f>
        <v/>
      </c>
      <c r="T3" s="27">
        <f>IF(A3="","",SUMIFS(Beneficiaries!$E$2:$E$301,Beneficiaries!$A$2:$A$301,A3,Beneficiaries!$D$2:$D$301,"Primary"))</f>
        <v/>
      </c>
      <c r="U3" s="28" t="n"/>
      <c r="V3" s="28" t="n"/>
    </row>
    <row r="4">
      <c r="A4" s="28" t="n"/>
      <c r="B4" s="28" t="n"/>
      <c r="C4" s="28" t="n"/>
      <c r="D4" s="28" t="n"/>
      <c r="E4" s="28" t="n"/>
      <c r="F4" s="28" t="n"/>
      <c r="G4" s="29" t="n"/>
      <c r="H4" s="30" t="n"/>
      <c r="I4" s="28" t="n"/>
      <c r="J4" s="22">
        <f>IF(OR(H4="",I4=""),"",IF(I4="Single Pay",0,H4*IFERROR(INDEX(Lists!$D$2:$D$6,MATCH(I4,Lists!$C$2:$C$6,0)),0)))</f>
        <v/>
      </c>
      <c r="K4" s="31" t="n"/>
      <c r="L4" s="31" t="n"/>
      <c r="M4" s="32" t="n"/>
      <c r="N4" s="25">
        <f>IF(OR(L4="",M4=""),"",EDATE(L4,12*M4))</f>
        <v/>
      </c>
      <c r="O4" s="28" t="n"/>
      <c r="P4" s="32" t="n"/>
      <c r="Q4" s="31" t="n"/>
      <c r="R4" s="26">
        <f>IF(Q4="","",Q4-TODAY())</f>
        <v/>
      </c>
      <c r="S4" s="22">
        <f>IF(A4="","",SUMIFS(Payments!$C$2:$C$301,Payments!$B$2:$B$301,A4))</f>
        <v/>
      </c>
      <c r="T4" s="27">
        <f>IF(A4="","",SUMIFS(Beneficiaries!$E$2:$E$301,Beneficiaries!$A$2:$A$301,A4,Beneficiaries!$D$2:$D$301,"Primary"))</f>
        <v/>
      </c>
      <c r="U4" s="28" t="n"/>
      <c r="V4" s="28" t="n"/>
    </row>
    <row r="5">
      <c r="A5" s="28" t="n"/>
      <c r="B5" s="28" t="n"/>
      <c r="C5" s="28" t="n"/>
      <c r="D5" s="28" t="n"/>
      <c r="E5" s="28" t="n"/>
      <c r="F5" s="28" t="n"/>
      <c r="G5" s="29" t="n"/>
      <c r="H5" s="30" t="n"/>
      <c r="I5" s="28" t="n"/>
      <c r="J5" s="22">
        <f>IF(OR(H5="",I5=""),"",IF(I5="Single Pay",0,H5*IFERROR(INDEX(Lists!$D$2:$D$6,MATCH(I5,Lists!$C$2:$C$6,0)),0)))</f>
        <v/>
      </c>
      <c r="K5" s="31" t="n"/>
      <c r="L5" s="31" t="n"/>
      <c r="M5" s="32" t="n"/>
      <c r="N5" s="25">
        <f>IF(OR(L5="",M5=""),"",EDATE(L5,12*M5))</f>
        <v/>
      </c>
      <c r="O5" s="28" t="n"/>
      <c r="P5" s="32" t="n"/>
      <c r="Q5" s="31" t="n"/>
      <c r="R5" s="26">
        <f>IF(Q5="","",Q5-TODAY())</f>
        <v/>
      </c>
      <c r="S5" s="22">
        <f>IF(A5="","",SUMIFS(Payments!$C$2:$C$301,Payments!$B$2:$B$301,A5))</f>
        <v/>
      </c>
      <c r="T5" s="27">
        <f>IF(A5="","",SUMIFS(Beneficiaries!$E$2:$E$301,Beneficiaries!$A$2:$A$301,A5,Beneficiaries!$D$2:$D$301,"Primary"))</f>
        <v/>
      </c>
      <c r="U5" s="28" t="n"/>
      <c r="V5" s="28" t="n"/>
    </row>
    <row r="6">
      <c r="A6" s="28" t="n"/>
      <c r="B6" s="28" t="n"/>
      <c r="C6" s="28" t="n"/>
      <c r="D6" s="28" t="n"/>
      <c r="E6" s="28" t="n"/>
      <c r="F6" s="28" t="n"/>
      <c r="G6" s="29" t="n"/>
      <c r="H6" s="30" t="n"/>
      <c r="I6" s="28" t="n"/>
      <c r="J6" s="22">
        <f>IF(OR(H6="",I6=""),"",IF(I6="Single Pay",0,H6*IFERROR(INDEX(Lists!$D$2:$D$6,MATCH(I6,Lists!$C$2:$C$6,0)),0)))</f>
        <v/>
      </c>
      <c r="K6" s="31" t="n"/>
      <c r="L6" s="31" t="n"/>
      <c r="M6" s="32" t="n"/>
      <c r="N6" s="25">
        <f>IF(OR(L6="",M6=""),"",EDATE(L6,12*M6))</f>
        <v/>
      </c>
      <c r="O6" s="28" t="n"/>
      <c r="P6" s="32" t="n"/>
      <c r="Q6" s="31" t="n"/>
      <c r="R6" s="26">
        <f>IF(Q6="","",Q6-TODAY())</f>
        <v/>
      </c>
      <c r="S6" s="22">
        <f>IF(A6="","",SUMIFS(Payments!$C$2:$C$301,Payments!$B$2:$B$301,A6))</f>
        <v/>
      </c>
      <c r="T6" s="27">
        <f>IF(A6="","",SUMIFS(Beneficiaries!$E$2:$E$301,Beneficiaries!$A$2:$A$301,A6,Beneficiaries!$D$2:$D$301,"Primary"))</f>
        <v/>
      </c>
      <c r="U6" s="28" t="n"/>
      <c r="V6" s="28" t="n"/>
    </row>
    <row r="7">
      <c r="A7" s="28" t="n"/>
      <c r="B7" s="28" t="n"/>
      <c r="C7" s="28" t="n"/>
      <c r="D7" s="28" t="n"/>
      <c r="E7" s="28" t="n"/>
      <c r="F7" s="28" t="n"/>
      <c r="G7" s="29" t="n"/>
      <c r="H7" s="30" t="n"/>
      <c r="I7" s="28" t="n"/>
      <c r="J7" s="22">
        <f>IF(OR(H7="",I7=""),"",IF(I7="Single Pay",0,H7*IFERROR(INDEX(Lists!$D$2:$D$6,MATCH(I7,Lists!$C$2:$C$6,0)),0)))</f>
        <v/>
      </c>
      <c r="K7" s="31" t="n"/>
      <c r="L7" s="31" t="n"/>
      <c r="M7" s="32" t="n"/>
      <c r="N7" s="25">
        <f>IF(OR(L7="",M7=""),"",EDATE(L7,12*M7))</f>
        <v/>
      </c>
      <c r="O7" s="28" t="n"/>
      <c r="P7" s="32" t="n"/>
      <c r="Q7" s="31" t="n"/>
      <c r="R7" s="26">
        <f>IF(Q7="","",Q7-TODAY())</f>
        <v/>
      </c>
      <c r="S7" s="22">
        <f>IF(A7="","",SUMIFS(Payments!$C$2:$C$301,Payments!$B$2:$B$301,A7))</f>
        <v/>
      </c>
      <c r="T7" s="27">
        <f>IF(A7="","",SUMIFS(Beneficiaries!$E$2:$E$301,Beneficiaries!$A$2:$A$301,A7,Beneficiaries!$D$2:$D$301,"Primary"))</f>
        <v/>
      </c>
      <c r="U7" s="28" t="n"/>
      <c r="V7" s="28" t="n"/>
    </row>
    <row r="8">
      <c r="A8" s="28" t="n"/>
      <c r="B8" s="28" t="n"/>
      <c r="C8" s="28" t="n"/>
      <c r="D8" s="28" t="n"/>
      <c r="E8" s="28" t="n"/>
      <c r="F8" s="28" t="n"/>
      <c r="G8" s="29" t="n"/>
      <c r="H8" s="30" t="n"/>
      <c r="I8" s="28" t="n"/>
      <c r="J8" s="22">
        <f>IF(OR(H8="",I8=""),"",IF(I8="Single Pay",0,H8*IFERROR(INDEX(Lists!$D$2:$D$6,MATCH(I8,Lists!$C$2:$C$6,0)),0)))</f>
        <v/>
      </c>
      <c r="K8" s="31" t="n"/>
      <c r="L8" s="31" t="n"/>
      <c r="M8" s="32" t="n"/>
      <c r="N8" s="25">
        <f>IF(OR(L8="",M8=""),"",EDATE(L8,12*M8))</f>
        <v/>
      </c>
      <c r="O8" s="28" t="n"/>
      <c r="P8" s="32" t="n"/>
      <c r="Q8" s="31" t="n"/>
      <c r="R8" s="26">
        <f>IF(Q8="","",Q8-TODAY())</f>
        <v/>
      </c>
      <c r="S8" s="22">
        <f>IF(A8="","",SUMIFS(Payments!$C$2:$C$301,Payments!$B$2:$B$301,A8))</f>
        <v/>
      </c>
      <c r="T8" s="27">
        <f>IF(A8="","",SUMIFS(Beneficiaries!$E$2:$E$301,Beneficiaries!$A$2:$A$301,A8,Beneficiaries!$D$2:$D$301,"Primary"))</f>
        <v/>
      </c>
      <c r="U8" s="28" t="n"/>
      <c r="V8" s="28" t="n"/>
    </row>
    <row r="9">
      <c r="A9" s="28" t="n"/>
      <c r="B9" s="28" t="n"/>
      <c r="C9" s="28" t="n"/>
      <c r="D9" s="28" t="n"/>
      <c r="E9" s="28" t="n"/>
      <c r="F9" s="28" t="n"/>
      <c r="G9" s="29" t="n"/>
      <c r="H9" s="30" t="n"/>
      <c r="I9" s="28" t="n"/>
      <c r="J9" s="22">
        <f>IF(OR(H9="",I9=""),"",IF(I9="Single Pay",0,H9*IFERROR(INDEX(Lists!$D$2:$D$6,MATCH(I9,Lists!$C$2:$C$6,0)),0)))</f>
        <v/>
      </c>
      <c r="K9" s="31" t="n"/>
      <c r="L9" s="31" t="n"/>
      <c r="M9" s="32" t="n"/>
      <c r="N9" s="25">
        <f>IF(OR(L9="",M9=""),"",EDATE(L9,12*M9))</f>
        <v/>
      </c>
      <c r="O9" s="28" t="n"/>
      <c r="P9" s="32" t="n"/>
      <c r="Q9" s="31" t="n"/>
      <c r="R9" s="26">
        <f>IF(Q9="","",Q9-TODAY())</f>
        <v/>
      </c>
      <c r="S9" s="22">
        <f>IF(A9="","",SUMIFS(Payments!$C$2:$C$301,Payments!$B$2:$B$301,A9))</f>
        <v/>
      </c>
      <c r="T9" s="27">
        <f>IF(A9="","",SUMIFS(Beneficiaries!$E$2:$E$301,Beneficiaries!$A$2:$A$301,A9,Beneficiaries!$D$2:$D$301,"Primary"))</f>
        <v/>
      </c>
      <c r="U9" s="28" t="n"/>
      <c r="V9" s="28" t="n"/>
    </row>
    <row r="10">
      <c r="A10" s="28" t="n"/>
      <c r="B10" s="28" t="n"/>
      <c r="C10" s="28" t="n"/>
      <c r="D10" s="28" t="n"/>
      <c r="E10" s="28" t="n"/>
      <c r="F10" s="28" t="n"/>
      <c r="G10" s="29" t="n"/>
      <c r="H10" s="30" t="n"/>
      <c r="I10" s="28" t="n"/>
      <c r="J10" s="22">
        <f>IF(OR(H10="",I10=""),"",IF(I10="Single Pay",0,H10*IFERROR(INDEX(Lists!$D$2:$D$6,MATCH(I10,Lists!$C$2:$C$6,0)),0)))</f>
        <v/>
      </c>
      <c r="K10" s="31" t="n"/>
      <c r="L10" s="31" t="n"/>
      <c r="M10" s="32" t="n"/>
      <c r="N10" s="25">
        <f>IF(OR(L10="",M10=""),"",EDATE(L10,12*M10))</f>
        <v/>
      </c>
      <c r="O10" s="28" t="n"/>
      <c r="P10" s="32" t="n"/>
      <c r="Q10" s="31" t="n"/>
      <c r="R10" s="26">
        <f>IF(Q10="","",Q10-TODAY())</f>
        <v/>
      </c>
      <c r="S10" s="22">
        <f>IF(A10="","",SUMIFS(Payments!$C$2:$C$301,Payments!$B$2:$B$301,A10))</f>
        <v/>
      </c>
      <c r="T10" s="27">
        <f>IF(A10="","",SUMIFS(Beneficiaries!$E$2:$E$301,Beneficiaries!$A$2:$A$301,A10,Beneficiaries!$D$2:$D$301,"Primary"))</f>
        <v/>
      </c>
      <c r="U10" s="28" t="n"/>
      <c r="V10" s="28" t="n"/>
    </row>
    <row r="11">
      <c r="A11" s="28" t="n"/>
      <c r="B11" s="28" t="n"/>
      <c r="C11" s="28" t="n"/>
      <c r="D11" s="28" t="n"/>
      <c r="E11" s="28" t="n"/>
      <c r="F11" s="28" t="n"/>
      <c r="G11" s="29" t="n"/>
      <c r="H11" s="30" t="n"/>
      <c r="I11" s="28" t="n"/>
      <c r="J11" s="22">
        <f>IF(OR(H11="",I11=""),"",IF(I11="Single Pay",0,H11*IFERROR(INDEX(Lists!$D$2:$D$6,MATCH(I11,Lists!$C$2:$C$6,0)),0)))</f>
        <v/>
      </c>
      <c r="K11" s="31" t="n"/>
      <c r="L11" s="31" t="n"/>
      <c r="M11" s="32" t="n"/>
      <c r="N11" s="25">
        <f>IF(OR(L11="",M11=""),"",EDATE(L11,12*M11))</f>
        <v/>
      </c>
      <c r="O11" s="28" t="n"/>
      <c r="P11" s="32" t="n"/>
      <c r="Q11" s="31" t="n"/>
      <c r="R11" s="26">
        <f>IF(Q11="","",Q11-TODAY())</f>
        <v/>
      </c>
      <c r="S11" s="22">
        <f>IF(A11="","",SUMIFS(Payments!$C$2:$C$301,Payments!$B$2:$B$301,A11))</f>
        <v/>
      </c>
      <c r="T11" s="27">
        <f>IF(A11="","",SUMIFS(Beneficiaries!$E$2:$E$301,Beneficiaries!$A$2:$A$301,A11,Beneficiaries!$D$2:$D$301,"Primary"))</f>
        <v/>
      </c>
      <c r="U11" s="28" t="n"/>
      <c r="V11" s="28" t="n"/>
    </row>
    <row r="12">
      <c r="A12" s="28" t="n"/>
      <c r="B12" s="28" t="n"/>
      <c r="C12" s="28" t="n"/>
      <c r="D12" s="28" t="n"/>
      <c r="E12" s="28" t="n"/>
      <c r="F12" s="28" t="n"/>
      <c r="G12" s="29" t="n"/>
      <c r="H12" s="30" t="n"/>
      <c r="I12" s="28" t="n"/>
      <c r="J12" s="22">
        <f>IF(OR(H12="",I12=""),"",IF(I12="Single Pay",0,H12*IFERROR(INDEX(Lists!$D$2:$D$6,MATCH(I12,Lists!$C$2:$C$6,0)),0)))</f>
        <v/>
      </c>
      <c r="K12" s="31" t="n"/>
      <c r="L12" s="31" t="n"/>
      <c r="M12" s="32" t="n"/>
      <c r="N12" s="25">
        <f>IF(OR(L12="",M12=""),"",EDATE(L12,12*M12))</f>
        <v/>
      </c>
      <c r="O12" s="28" t="n"/>
      <c r="P12" s="32" t="n"/>
      <c r="Q12" s="31" t="n"/>
      <c r="R12" s="26">
        <f>IF(Q12="","",Q12-TODAY())</f>
        <v/>
      </c>
      <c r="S12" s="22">
        <f>IF(A12="","",SUMIFS(Payments!$C$2:$C$301,Payments!$B$2:$B$301,A12))</f>
        <v/>
      </c>
      <c r="T12" s="27">
        <f>IF(A12="","",SUMIFS(Beneficiaries!$E$2:$E$301,Beneficiaries!$A$2:$A$301,A12,Beneficiaries!$D$2:$D$301,"Primary"))</f>
        <v/>
      </c>
      <c r="U12" s="28" t="n"/>
      <c r="V12" s="28" t="n"/>
    </row>
    <row r="13">
      <c r="A13" s="28" t="n"/>
      <c r="B13" s="28" t="n"/>
      <c r="C13" s="28" t="n"/>
      <c r="D13" s="28" t="n"/>
      <c r="E13" s="28" t="n"/>
      <c r="F13" s="28" t="n"/>
      <c r="G13" s="29" t="n"/>
      <c r="H13" s="30" t="n"/>
      <c r="I13" s="28" t="n"/>
      <c r="J13" s="22">
        <f>IF(OR(H13="",I13=""),"",IF(I13="Single Pay",0,H13*IFERROR(INDEX(Lists!$D$2:$D$6,MATCH(I13,Lists!$C$2:$C$6,0)),0)))</f>
        <v/>
      </c>
      <c r="K13" s="31" t="n"/>
      <c r="L13" s="31" t="n"/>
      <c r="M13" s="32" t="n"/>
      <c r="N13" s="25">
        <f>IF(OR(L13="",M13=""),"",EDATE(L13,12*M13))</f>
        <v/>
      </c>
      <c r="O13" s="28" t="n"/>
      <c r="P13" s="32" t="n"/>
      <c r="Q13" s="31" t="n"/>
      <c r="R13" s="26">
        <f>IF(Q13="","",Q13-TODAY())</f>
        <v/>
      </c>
      <c r="S13" s="22">
        <f>IF(A13="","",SUMIFS(Payments!$C$2:$C$301,Payments!$B$2:$B$301,A13))</f>
        <v/>
      </c>
      <c r="T13" s="27">
        <f>IF(A13="","",SUMIFS(Beneficiaries!$E$2:$E$301,Beneficiaries!$A$2:$A$301,A13,Beneficiaries!$D$2:$D$301,"Primary"))</f>
        <v/>
      </c>
      <c r="U13" s="28" t="n"/>
      <c r="V13" s="28" t="n"/>
    </row>
    <row r="14">
      <c r="A14" s="28" t="n"/>
      <c r="B14" s="28" t="n"/>
      <c r="C14" s="28" t="n"/>
      <c r="D14" s="28" t="n"/>
      <c r="E14" s="28" t="n"/>
      <c r="F14" s="28" t="n"/>
      <c r="G14" s="29" t="n"/>
      <c r="H14" s="30" t="n"/>
      <c r="I14" s="28" t="n"/>
      <c r="J14" s="22">
        <f>IF(OR(H14="",I14=""),"",IF(I14="Single Pay",0,H14*IFERROR(INDEX(Lists!$D$2:$D$6,MATCH(I14,Lists!$C$2:$C$6,0)),0)))</f>
        <v/>
      </c>
      <c r="K14" s="31" t="n"/>
      <c r="L14" s="31" t="n"/>
      <c r="M14" s="32" t="n"/>
      <c r="N14" s="25">
        <f>IF(OR(L14="",M14=""),"",EDATE(L14,12*M14))</f>
        <v/>
      </c>
      <c r="O14" s="28" t="n"/>
      <c r="P14" s="32" t="n"/>
      <c r="Q14" s="31" t="n"/>
      <c r="R14" s="26">
        <f>IF(Q14="","",Q14-TODAY())</f>
        <v/>
      </c>
      <c r="S14" s="22">
        <f>IF(A14="","",SUMIFS(Payments!$C$2:$C$301,Payments!$B$2:$B$301,A14))</f>
        <v/>
      </c>
      <c r="T14" s="27">
        <f>IF(A14="","",SUMIFS(Beneficiaries!$E$2:$E$301,Beneficiaries!$A$2:$A$301,A14,Beneficiaries!$D$2:$D$301,"Primary"))</f>
        <v/>
      </c>
      <c r="U14" s="28" t="n"/>
      <c r="V14" s="28" t="n"/>
    </row>
    <row r="15">
      <c r="A15" s="28" t="n"/>
      <c r="B15" s="28" t="n"/>
      <c r="C15" s="28" t="n"/>
      <c r="D15" s="28" t="n"/>
      <c r="E15" s="28" t="n"/>
      <c r="F15" s="28" t="n"/>
      <c r="G15" s="29" t="n"/>
      <c r="H15" s="30" t="n"/>
      <c r="I15" s="28" t="n"/>
      <c r="J15" s="22">
        <f>IF(OR(H15="",I15=""),"",IF(I15="Single Pay",0,H15*IFERROR(INDEX(Lists!$D$2:$D$6,MATCH(I15,Lists!$C$2:$C$6,0)),0)))</f>
        <v/>
      </c>
      <c r="K15" s="31" t="n"/>
      <c r="L15" s="31" t="n"/>
      <c r="M15" s="32" t="n"/>
      <c r="N15" s="25">
        <f>IF(OR(L15="",M15=""),"",EDATE(L15,12*M15))</f>
        <v/>
      </c>
      <c r="O15" s="28" t="n"/>
      <c r="P15" s="32" t="n"/>
      <c r="Q15" s="31" t="n"/>
      <c r="R15" s="26">
        <f>IF(Q15="","",Q15-TODAY())</f>
        <v/>
      </c>
      <c r="S15" s="22">
        <f>IF(A15="","",SUMIFS(Payments!$C$2:$C$301,Payments!$B$2:$B$301,A15))</f>
        <v/>
      </c>
      <c r="T15" s="27">
        <f>IF(A15="","",SUMIFS(Beneficiaries!$E$2:$E$301,Beneficiaries!$A$2:$A$301,A15,Beneficiaries!$D$2:$D$301,"Primary"))</f>
        <v/>
      </c>
      <c r="U15" s="28" t="n"/>
      <c r="V15" s="28" t="n"/>
    </row>
    <row r="16">
      <c r="A16" s="28" t="n"/>
      <c r="B16" s="28" t="n"/>
      <c r="C16" s="28" t="n"/>
      <c r="D16" s="28" t="n"/>
      <c r="E16" s="28" t="n"/>
      <c r="F16" s="28" t="n"/>
      <c r="G16" s="29" t="n"/>
      <c r="H16" s="30" t="n"/>
      <c r="I16" s="28" t="n"/>
      <c r="J16" s="22">
        <f>IF(OR(H16="",I16=""),"",IF(I16="Single Pay",0,H16*IFERROR(INDEX(Lists!$D$2:$D$6,MATCH(I16,Lists!$C$2:$C$6,0)),0)))</f>
        <v/>
      </c>
      <c r="K16" s="31" t="n"/>
      <c r="L16" s="31" t="n"/>
      <c r="M16" s="32" t="n"/>
      <c r="N16" s="25">
        <f>IF(OR(L16="",M16=""),"",EDATE(L16,12*M16))</f>
        <v/>
      </c>
      <c r="O16" s="28" t="n"/>
      <c r="P16" s="32" t="n"/>
      <c r="Q16" s="31" t="n"/>
      <c r="R16" s="26">
        <f>IF(Q16="","",Q16-TODAY())</f>
        <v/>
      </c>
      <c r="S16" s="22">
        <f>IF(A16="","",SUMIFS(Payments!$C$2:$C$301,Payments!$B$2:$B$301,A16))</f>
        <v/>
      </c>
      <c r="T16" s="27">
        <f>IF(A16="","",SUMIFS(Beneficiaries!$E$2:$E$301,Beneficiaries!$A$2:$A$301,A16,Beneficiaries!$D$2:$D$301,"Primary"))</f>
        <v/>
      </c>
      <c r="U16" s="28" t="n"/>
      <c r="V16" s="28" t="n"/>
    </row>
    <row r="17">
      <c r="A17" s="28" t="n"/>
      <c r="B17" s="28" t="n"/>
      <c r="C17" s="28" t="n"/>
      <c r="D17" s="28" t="n"/>
      <c r="E17" s="28" t="n"/>
      <c r="F17" s="28" t="n"/>
      <c r="G17" s="29" t="n"/>
      <c r="H17" s="30" t="n"/>
      <c r="I17" s="28" t="n"/>
      <c r="J17" s="22">
        <f>IF(OR(H17="",I17=""),"",IF(I17="Single Pay",0,H17*IFERROR(INDEX(Lists!$D$2:$D$6,MATCH(I17,Lists!$C$2:$C$6,0)),0)))</f>
        <v/>
      </c>
      <c r="K17" s="31" t="n"/>
      <c r="L17" s="31" t="n"/>
      <c r="M17" s="32" t="n"/>
      <c r="N17" s="25">
        <f>IF(OR(L17="",M17=""),"",EDATE(L17,12*M17))</f>
        <v/>
      </c>
      <c r="O17" s="28" t="n"/>
      <c r="P17" s="32" t="n"/>
      <c r="Q17" s="31" t="n"/>
      <c r="R17" s="26">
        <f>IF(Q17="","",Q17-TODAY())</f>
        <v/>
      </c>
      <c r="S17" s="22">
        <f>IF(A17="","",SUMIFS(Payments!$C$2:$C$301,Payments!$B$2:$B$301,A17))</f>
        <v/>
      </c>
      <c r="T17" s="27">
        <f>IF(A17="","",SUMIFS(Beneficiaries!$E$2:$E$301,Beneficiaries!$A$2:$A$301,A17,Beneficiaries!$D$2:$D$301,"Primary"))</f>
        <v/>
      </c>
      <c r="U17" s="28" t="n"/>
      <c r="V17" s="28" t="n"/>
    </row>
    <row r="18">
      <c r="A18" s="28" t="n"/>
      <c r="B18" s="28" t="n"/>
      <c r="C18" s="28" t="n"/>
      <c r="D18" s="28" t="n"/>
      <c r="E18" s="28" t="n"/>
      <c r="F18" s="28" t="n"/>
      <c r="G18" s="29" t="n"/>
      <c r="H18" s="30" t="n"/>
      <c r="I18" s="28" t="n"/>
      <c r="J18" s="22">
        <f>IF(OR(H18="",I18=""),"",IF(I18="Single Pay",0,H18*IFERROR(INDEX(Lists!$D$2:$D$6,MATCH(I18,Lists!$C$2:$C$6,0)),0)))</f>
        <v/>
      </c>
      <c r="K18" s="31" t="n"/>
      <c r="L18" s="31" t="n"/>
      <c r="M18" s="32" t="n"/>
      <c r="N18" s="25">
        <f>IF(OR(L18="",M18=""),"",EDATE(L18,12*M18))</f>
        <v/>
      </c>
      <c r="O18" s="28" t="n"/>
      <c r="P18" s="32" t="n"/>
      <c r="Q18" s="31" t="n"/>
      <c r="R18" s="26">
        <f>IF(Q18="","",Q18-TODAY())</f>
        <v/>
      </c>
      <c r="S18" s="22">
        <f>IF(A18="","",SUMIFS(Payments!$C$2:$C$301,Payments!$B$2:$B$301,A18))</f>
        <v/>
      </c>
      <c r="T18" s="27">
        <f>IF(A18="","",SUMIFS(Beneficiaries!$E$2:$E$301,Beneficiaries!$A$2:$A$301,A18,Beneficiaries!$D$2:$D$301,"Primary"))</f>
        <v/>
      </c>
      <c r="U18" s="28" t="n"/>
      <c r="V18" s="28" t="n"/>
    </row>
    <row r="19">
      <c r="A19" s="28" t="n"/>
      <c r="B19" s="28" t="n"/>
      <c r="C19" s="28" t="n"/>
      <c r="D19" s="28" t="n"/>
      <c r="E19" s="28" t="n"/>
      <c r="F19" s="28" t="n"/>
      <c r="G19" s="29" t="n"/>
      <c r="H19" s="30" t="n"/>
      <c r="I19" s="28" t="n"/>
      <c r="J19" s="22">
        <f>IF(OR(H19="",I19=""),"",IF(I19="Single Pay",0,H19*IFERROR(INDEX(Lists!$D$2:$D$6,MATCH(I19,Lists!$C$2:$C$6,0)),0)))</f>
        <v/>
      </c>
      <c r="K19" s="31" t="n"/>
      <c r="L19" s="31" t="n"/>
      <c r="M19" s="32" t="n"/>
      <c r="N19" s="25">
        <f>IF(OR(L19="",M19=""),"",EDATE(L19,12*M19))</f>
        <v/>
      </c>
      <c r="O19" s="28" t="n"/>
      <c r="P19" s="32" t="n"/>
      <c r="Q19" s="31" t="n"/>
      <c r="R19" s="26">
        <f>IF(Q19="","",Q19-TODAY())</f>
        <v/>
      </c>
      <c r="S19" s="22">
        <f>IF(A19="","",SUMIFS(Payments!$C$2:$C$301,Payments!$B$2:$B$301,A19))</f>
        <v/>
      </c>
      <c r="T19" s="27">
        <f>IF(A19="","",SUMIFS(Beneficiaries!$E$2:$E$301,Beneficiaries!$A$2:$A$301,A19,Beneficiaries!$D$2:$D$301,"Primary"))</f>
        <v/>
      </c>
      <c r="U19" s="28" t="n"/>
      <c r="V19" s="28" t="n"/>
    </row>
    <row r="20">
      <c r="A20" s="28" t="n"/>
      <c r="B20" s="28" t="n"/>
      <c r="C20" s="28" t="n"/>
      <c r="D20" s="28" t="n"/>
      <c r="E20" s="28" t="n"/>
      <c r="F20" s="28" t="n"/>
      <c r="G20" s="29" t="n"/>
      <c r="H20" s="30" t="n"/>
      <c r="I20" s="28" t="n"/>
      <c r="J20" s="22">
        <f>IF(OR(H20="",I20=""),"",IF(I20="Single Pay",0,H20*IFERROR(INDEX(Lists!$D$2:$D$6,MATCH(I20,Lists!$C$2:$C$6,0)),0)))</f>
        <v/>
      </c>
      <c r="K20" s="31" t="n"/>
      <c r="L20" s="31" t="n"/>
      <c r="M20" s="32" t="n"/>
      <c r="N20" s="25">
        <f>IF(OR(L20="",M20=""),"",EDATE(L20,12*M20))</f>
        <v/>
      </c>
      <c r="O20" s="28" t="n"/>
      <c r="P20" s="32" t="n"/>
      <c r="Q20" s="31" t="n"/>
      <c r="R20" s="26">
        <f>IF(Q20="","",Q20-TODAY())</f>
        <v/>
      </c>
      <c r="S20" s="22">
        <f>IF(A20="","",SUMIFS(Payments!$C$2:$C$301,Payments!$B$2:$B$301,A20))</f>
        <v/>
      </c>
      <c r="T20" s="27">
        <f>IF(A20="","",SUMIFS(Beneficiaries!$E$2:$E$301,Beneficiaries!$A$2:$A$301,A20,Beneficiaries!$D$2:$D$301,"Primary"))</f>
        <v/>
      </c>
      <c r="U20" s="28" t="n"/>
      <c r="V20" s="28" t="n"/>
    </row>
    <row r="21">
      <c r="A21" s="28" t="n"/>
      <c r="B21" s="28" t="n"/>
      <c r="C21" s="28" t="n"/>
      <c r="D21" s="28" t="n"/>
      <c r="E21" s="28" t="n"/>
      <c r="F21" s="28" t="n"/>
      <c r="G21" s="29" t="n"/>
      <c r="H21" s="30" t="n"/>
      <c r="I21" s="28" t="n"/>
      <c r="J21" s="22">
        <f>IF(OR(H21="",I21=""),"",IF(I21="Single Pay",0,H21*IFERROR(INDEX(Lists!$D$2:$D$6,MATCH(I21,Lists!$C$2:$C$6,0)),0)))</f>
        <v/>
      </c>
      <c r="K21" s="31" t="n"/>
      <c r="L21" s="31" t="n"/>
      <c r="M21" s="32" t="n"/>
      <c r="N21" s="25">
        <f>IF(OR(L21="",M21=""),"",EDATE(L21,12*M21))</f>
        <v/>
      </c>
      <c r="O21" s="28" t="n"/>
      <c r="P21" s="32" t="n"/>
      <c r="Q21" s="31" t="n"/>
      <c r="R21" s="26">
        <f>IF(Q21="","",Q21-TODAY())</f>
        <v/>
      </c>
      <c r="S21" s="22">
        <f>IF(A21="","",SUMIFS(Payments!$C$2:$C$301,Payments!$B$2:$B$301,A21))</f>
        <v/>
      </c>
      <c r="T21" s="27">
        <f>IF(A21="","",SUMIFS(Beneficiaries!$E$2:$E$301,Beneficiaries!$A$2:$A$301,A21,Beneficiaries!$D$2:$D$301,"Primary"))</f>
        <v/>
      </c>
      <c r="U21" s="28" t="n"/>
      <c r="V21" s="28" t="n"/>
    </row>
    <row r="22">
      <c r="A22" s="28" t="n"/>
      <c r="B22" s="28" t="n"/>
      <c r="C22" s="28" t="n"/>
      <c r="D22" s="28" t="n"/>
      <c r="E22" s="28" t="n"/>
      <c r="F22" s="28" t="n"/>
      <c r="G22" s="29" t="n"/>
      <c r="H22" s="30" t="n"/>
      <c r="I22" s="28" t="n"/>
      <c r="J22" s="22">
        <f>IF(OR(H22="",I22=""),"",IF(I22="Single Pay",0,H22*IFERROR(INDEX(Lists!$D$2:$D$6,MATCH(I22,Lists!$C$2:$C$6,0)),0)))</f>
        <v/>
      </c>
      <c r="K22" s="31" t="n"/>
      <c r="L22" s="31" t="n"/>
      <c r="M22" s="32" t="n"/>
      <c r="N22" s="25">
        <f>IF(OR(L22="",M22=""),"",EDATE(L22,12*M22))</f>
        <v/>
      </c>
      <c r="O22" s="28" t="n"/>
      <c r="P22" s="32" t="n"/>
      <c r="Q22" s="31" t="n"/>
      <c r="R22" s="26">
        <f>IF(Q22="","",Q22-TODAY())</f>
        <v/>
      </c>
      <c r="S22" s="22">
        <f>IF(A22="","",SUMIFS(Payments!$C$2:$C$301,Payments!$B$2:$B$301,A22))</f>
        <v/>
      </c>
      <c r="T22" s="27">
        <f>IF(A22="","",SUMIFS(Beneficiaries!$E$2:$E$301,Beneficiaries!$A$2:$A$301,A22,Beneficiaries!$D$2:$D$301,"Primary"))</f>
        <v/>
      </c>
      <c r="U22" s="28" t="n"/>
      <c r="V22" s="28" t="n"/>
    </row>
    <row r="23">
      <c r="A23" s="28" t="n"/>
      <c r="B23" s="28" t="n"/>
      <c r="C23" s="28" t="n"/>
      <c r="D23" s="28" t="n"/>
      <c r="E23" s="28" t="n"/>
      <c r="F23" s="28" t="n"/>
      <c r="G23" s="29" t="n"/>
      <c r="H23" s="30" t="n"/>
      <c r="I23" s="28" t="n"/>
      <c r="J23" s="22">
        <f>IF(OR(H23="",I23=""),"",IF(I23="Single Pay",0,H23*IFERROR(INDEX(Lists!$D$2:$D$6,MATCH(I23,Lists!$C$2:$C$6,0)),0)))</f>
        <v/>
      </c>
      <c r="K23" s="31" t="n"/>
      <c r="L23" s="31" t="n"/>
      <c r="M23" s="32" t="n"/>
      <c r="N23" s="25">
        <f>IF(OR(L23="",M23=""),"",EDATE(L23,12*M23))</f>
        <v/>
      </c>
      <c r="O23" s="28" t="n"/>
      <c r="P23" s="32" t="n"/>
      <c r="Q23" s="31" t="n"/>
      <c r="R23" s="26">
        <f>IF(Q23="","",Q23-TODAY())</f>
        <v/>
      </c>
      <c r="S23" s="22">
        <f>IF(A23="","",SUMIFS(Payments!$C$2:$C$301,Payments!$B$2:$B$301,A23))</f>
        <v/>
      </c>
      <c r="T23" s="27">
        <f>IF(A23="","",SUMIFS(Beneficiaries!$E$2:$E$301,Beneficiaries!$A$2:$A$301,A23,Beneficiaries!$D$2:$D$301,"Primary"))</f>
        <v/>
      </c>
      <c r="U23" s="28" t="n"/>
      <c r="V23" s="28" t="n"/>
    </row>
    <row r="24">
      <c r="A24" s="28" t="n"/>
      <c r="B24" s="28" t="n"/>
      <c r="C24" s="28" t="n"/>
      <c r="D24" s="28" t="n"/>
      <c r="E24" s="28" t="n"/>
      <c r="F24" s="28" t="n"/>
      <c r="G24" s="29" t="n"/>
      <c r="H24" s="30" t="n"/>
      <c r="I24" s="28" t="n"/>
      <c r="J24" s="22">
        <f>IF(OR(H24="",I24=""),"",IF(I24="Single Pay",0,H24*IFERROR(INDEX(Lists!$D$2:$D$6,MATCH(I24,Lists!$C$2:$C$6,0)),0)))</f>
        <v/>
      </c>
      <c r="K24" s="31" t="n"/>
      <c r="L24" s="31" t="n"/>
      <c r="M24" s="32" t="n"/>
      <c r="N24" s="25">
        <f>IF(OR(L24="",M24=""),"",EDATE(L24,12*M24))</f>
        <v/>
      </c>
      <c r="O24" s="28" t="n"/>
      <c r="P24" s="32" t="n"/>
      <c r="Q24" s="31" t="n"/>
      <c r="R24" s="26">
        <f>IF(Q24="","",Q24-TODAY())</f>
        <v/>
      </c>
      <c r="S24" s="22">
        <f>IF(A24="","",SUMIFS(Payments!$C$2:$C$301,Payments!$B$2:$B$301,A24))</f>
        <v/>
      </c>
      <c r="T24" s="27">
        <f>IF(A24="","",SUMIFS(Beneficiaries!$E$2:$E$301,Beneficiaries!$A$2:$A$301,A24,Beneficiaries!$D$2:$D$301,"Primary"))</f>
        <v/>
      </c>
      <c r="U24" s="28" t="n"/>
      <c r="V24" s="28" t="n"/>
    </row>
    <row r="25">
      <c r="A25" s="28" t="n"/>
      <c r="B25" s="28" t="n"/>
      <c r="C25" s="28" t="n"/>
      <c r="D25" s="28" t="n"/>
      <c r="E25" s="28" t="n"/>
      <c r="F25" s="28" t="n"/>
      <c r="G25" s="29" t="n"/>
      <c r="H25" s="30" t="n"/>
      <c r="I25" s="28" t="n"/>
      <c r="J25" s="22">
        <f>IF(OR(H25="",I25=""),"",IF(I25="Single Pay",0,H25*IFERROR(INDEX(Lists!$D$2:$D$6,MATCH(I25,Lists!$C$2:$C$6,0)),0)))</f>
        <v/>
      </c>
      <c r="K25" s="31" t="n"/>
      <c r="L25" s="31" t="n"/>
      <c r="M25" s="32" t="n"/>
      <c r="N25" s="25">
        <f>IF(OR(L25="",M25=""),"",EDATE(L25,12*M25))</f>
        <v/>
      </c>
      <c r="O25" s="28" t="n"/>
      <c r="P25" s="32" t="n"/>
      <c r="Q25" s="31" t="n"/>
      <c r="R25" s="26">
        <f>IF(Q25="","",Q25-TODAY())</f>
        <v/>
      </c>
      <c r="S25" s="22">
        <f>IF(A25="","",SUMIFS(Payments!$C$2:$C$301,Payments!$B$2:$B$301,A25))</f>
        <v/>
      </c>
      <c r="T25" s="27">
        <f>IF(A25="","",SUMIFS(Beneficiaries!$E$2:$E$301,Beneficiaries!$A$2:$A$301,A25,Beneficiaries!$D$2:$D$301,"Primary"))</f>
        <v/>
      </c>
      <c r="U25" s="28" t="n"/>
      <c r="V25" s="28" t="n"/>
    </row>
    <row r="26">
      <c r="A26" s="28" t="n"/>
      <c r="B26" s="28" t="n"/>
      <c r="C26" s="28" t="n"/>
      <c r="D26" s="28" t="n"/>
      <c r="E26" s="28" t="n"/>
      <c r="F26" s="28" t="n"/>
      <c r="G26" s="29" t="n"/>
      <c r="H26" s="30" t="n"/>
      <c r="I26" s="28" t="n"/>
      <c r="J26" s="22">
        <f>IF(OR(H26="",I26=""),"",IF(I26="Single Pay",0,H26*IFERROR(INDEX(Lists!$D$2:$D$6,MATCH(I26,Lists!$C$2:$C$6,0)),0)))</f>
        <v/>
      </c>
      <c r="K26" s="31" t="n"/>
      <c r="L26" s="31" t="n"/>
      <c r="M26" s="32" t="n"/>
      <c r="N26" s="25">
        <f>IF(OR(L26="",M26=""),"",EDATE(L26,12*M26))</f>
        <v/>
      </c>
      <c r="O26" s="28" t="n"/>
      <c r="P26" s="32" t="n"/>
      <c r="Q26" s="31" t="n"/>
      <c r="R26" s="26">
        <f>IF(Q26="","",Q26-TODAY())</f>
        <v/>
      </c>
      <c r="S26" s="22">
        <f>IF(A26="","",SUMIFS(Payments!$C$2:$C$301,Payments!$B$2:$B$301,A26))</f>
        <v/>
      </c>
      <c r="T26" s="27">
        <f>IF(A26="","",SUMIFS(Beneficiaries!$E$2:$E$301,Beneficiaries!$A$2:$A$301,A26,Beneficiaries!$D$2:$D$301,"Primary"))</f>
        <v/>
      </c>
      <c r="U26" s="28" t="n"/>
      <c r="V26" s="28" t="n"/>
    </row>
    <row r="27">
      <c r="A27" s="28" t="n"/>
      <c r="B27" s="28" t="n"/>
      <c r="C27" s="28" t="n"/>
      <c r="D27" s="28" t="n"/>
      <c r="E27" s="28" t="n"/>
      <c r="F27" s="28" t="n"/>
      <c r="G27" s="29" t="n"/>
      <c r="H27" s="30" t="n"/>
      <c r="I27" s="28" t="n"/>
      <c r="J27" s="22">
        <f>IF(OR(H27="",I27=""),"",IF(I27="Single Pay",0,H27*IFERROR(INDEX(Lists!$D$2:$D$6,MATCH(I27,Lists!$C$2:$C$6,0)),0)))</f>
        <v/>
      </c>
      <c r="K27" s="31" t="n"/>
      <c r="L27" s="31" t="n"/>
      <c r="M27" s="32" t="n"/>
      <c r="N27" s="25">
        <f>IF(OR(L27="",M27=""),"",EDATE(L27,12*M27))</f>
        <v/>
      </c>
      <c r="O27" s="28" t="n"/>
      <c r="P27" s="32" t="n"/>
      <c r="Q27" s="31" t="n"/>
      <c r="R27" s="26">
        <f>IF(Q27="","",Q27-TODAY())</f>
        <v/>
      </c>
      <c r="S27" s="22">
        <f>IF(A27="","",SUMIFS(Payments!$C$2:$C$301,Payments!$B$2:$B$301,A27))</f>
        <v/>
      </c>
      <c r="T27" s="27">
        <f>IF(A27="","",SUMIFS(Beneficiaries!$E$2:$E$301,Beneficiaries!$A$2:$A$301,A27,Beneficiaries!$D$2:$D$301,"Primary"))</f>
        <v/>
      </c>
      <c r="U27" s="28" t="n"/>
      <c r="V27" s="28" t="n"/>
    </row>
    <row r="28">
      <c r="A28" s="28" t="n"/>
      <c r="B28" s="28" t="n"/>
      <c r="C28" s="28" t="n"/>
      <c r="D28" s="28" t="n"/>
      <c r="E28" s="28" t="n"/>
      <c r="F28" s="28" t="n"/>
      <c r="G28" s="29" t="n"/>
      <c r="H28" s="30" t="n"/>
      <c r="I28" s="28" t="n"/>
      <c r="J28" s="22">
        <f>IF(OR(H28="",I28=""),"",IF(I28="Single Pay",0,H28*IFERROR(INDEX(Lists!$D$2:$D$6,MATCH(I28,Lists!$C$2:$C$6,0)),0)))</f>
        <v/>
      </c>
      <c r="K28" s="31" t="n"/>
      <c r="L28" s="31" t="n"/>
      <c r="M28" s="32" t="n"/>
      <c r="N28" s="25">
        <f>IF(OR(L28="",M28=""),"",EDATE(L28,12*M28))</f>
        <v/>
      </c>
      <c r="O28" s="28" t="n"/>
      <c r="P28" s="32" t="n"/>
      <c r="Q28" s="31" t="n"/>
      <c r="R28" s="26">
        <f>IF(Q28="","",Q28-TODAY())</f>
        <v/>
      </c>
      <c r="S28" s="22">
        <f>IF(A28="","",SUMIFS(Payments!$C$2:$C$301,Payments!$B$2:$B$301,A28))</f>
        <v/>
      </c>
      <c r="T28" s="27">
        <f>IF(A28="","",SUMIFS(Beneficiaries!$E$2:$E$301,Beneficiaries!$A$2:$A$301,A28,Beneficiaries!$D$2:$D$301,"Primary"))</f>
        <v/>
      </c>
      <c r="U28" s="28" t="n"/>
      <c r="V28" s="28" t="n"/>
    </row>
    <row r="29">
      <c r="A29" s="28" t="n"/>
      <c r="B29" s="28" t="n"/>
      <c r="C29" s="28" t="n"/>
      <c r="D29" s="28" t="n"/>
      <c r="E29" s="28" t="n"/>
      <c r="F29" s="28" t="n"/>
      <c r="G29" s="29" t="n"/>
      <c r="H29" s="30" t="n"/>
      <c r="I29" s="28" t="n"/>
      <c r="J29" s="22">
        <f>IF(OR(H29="",I29=""),"",IF(I29="Single Pay",0,H29*IFERROR(INDEX(Lists!$D$2:$D$6,MATCH(I29,Lists!$C$2:$C$6,0)),0)))</f>
        <v/>
      </c>
      <c r="K29" s="31" t="n"/>
      <c r="L29" s="31" t="n"/>
      <c r="M29" s="32" t="n"/>
      <c r="N29" s="25">
        <f>IF(OR(L29="",M29=""),"",EDATE(L29,12*M29))</f>
        <v/>
      </c>
      <c r="O29" s="28" t="n"/>
      <c r="P29" s="32" t="n"/>
      <c r="Q29" s="31" t="n"/>
      <c r="R29" s="26">
        <f>IF(Q29="","",Q29-TODAY())</f>
        <v/>
      </c>
      <c r="S29" s="22">
        <f>IF(A29="","",SUMIFS(Payments!$C$2:$C$301,Payments!$B$2:$B$301,A29))</f>
        <v/>
      </c>
      <c r="T29" s="27">
        <f>IF(A29="","",SUMIFS(Beneficiaries!$E$2:$E$301,Beneficiaries!$A$2:$A$301,A29,Beneficiaries!$D$2:$D$301,"Primary"))</f>
        <v/>
      </c>
      <c r="U29" s="28" t="n"/>
      <c r="V29" s="28" t="n"/>
    </row>
    <row r="30">
      <c r="A30" s="28" t="n"/>
      <c r="B30" s="28" t="n"/>
      <c r="C30" s="28" t="n"/>
      <c r="D30" s="28" t="n"/>
      <c r="E30" s="28" t="n"/>
      <c r="F30" s="28" t="n"/>
      <c r="G30" s="29" t="n"/>
      <c r="H30" s="30" t="n"/>
      <c r="I30" s="28" t="n"/>
      <c r="J30" s="22">
        <f>IF(OR(H30="",I30=""),"",IF(I30="Single Pay",0,H30*IFERROR(INDEX(Lists!$D$2:$D$6,MATCH(I30,Lists!$C$2:$C$6,0)),0)))</f>
        <v/>
      </c>
      <c r="K30" s="31" t="n"/>
      <c r="L30" s="31" t="n"/>
      <c r="M30" s="32" t="n"/>
      <c r="N30" s="25">
        <f>IF(OR(L30="",M30=""),"",EDATE(L30,12*M30))</f>
        <v/>
      </c>
      <c r="O30" s="28" t="n"/>
      <c r="P30" s="32" t="n"/>
      <c r="Q30" s="31" t="n"/>
      <c r="R30" s="26">
        <f>IF(Q30="","",Q30-TODAY())</f>
        <v/>
      </c>
      <c r="S30" s="22">
        <f>IF(A30="","",SUMIFS(Payments!$C$2:$C$301,Payments!$B$2:$B$301,A30))</f>
        <v/>
      </c>
      <c r="T30" s="27">
        <f>IF(A30="","",SUMIFS(Beneficiaries!$E$2:$E$301,Beneficiaries!$A$2:$A$301,A30,Beneficiaries!$D$2:$D$301,"Primary"))</f>
        <v/>
      </c>
      <c r="U30" s="28" t="n"/>
      <c r="V30" s="28" t="n"/>
    </row>
    <row r="31">
      <c r="A31" s="28" t="n"/>
      <c r="B31" s="28" t="n"/>
      <c r="C31" s="28" t="n"/>
      <c r="D31" s="28" t="n"/>
      <c r="E31" s="28" t="n"/>
      <c r="F31" s="28" t="n"/>
      <c r="G31" s="29" t="n"/>
      <c r="H31" s="30" t="n"/>
      <c r="I31" s="28" t="n"/>
      <c r="J31" s="22">
        <f>IF(OR(H31="",I31=""),"",IF(I31="Single Pay",0,H31*IFERROR(INDEX(Lists!$D$2:$D$6,MATCH(I31,Lists!$C$2:$C$6,0)),0)))</f>
        <v/>
      </c>
      <c r="K31" s="31" t="n"/>
      <c r="L31" s="31" t="n"/>
      <c r="M31" s="32" t="n"/>
      <c r="N31" s="25">
        <f>IF(OR(L31="",M31=""),"",EDATE(L31,12*M31))</f>
        <v/>
      </c>
      <c r="O31" s="28" t="n"/>
      <c r="P31" s="32" t="n"/>
      <c r="Q31" s="31" t="n"/>
      <c r="R31" s="26">
        <f>IF(Q31="","",Q31-TODAY())</f>
        <v/>
      </c>
      <c r="S31" s="22">
        <f>IF(A31="","",SUMIFS(Payments!$C$2:$C$301,Payments!$B$2:$B$301,A31))</f>
        <v/>
      </c>
      <c r="T31" s="27">
        <f>IF(A31="","",SUMIFS(Beneficiaries!$E$2:$E$301,Beneficiaries!$A$2:$A$301,A31,Beneficiaries!$D$2:$D$301,"Primary"))</f>
        <v/>
      </c>
      <c r="U31" s="28" t="n"/>
      <c r="V31" s="28" t="n"/>
    </row>
    <row r="32">
      <c r="A32" s="28" t="n"/>
      <c r="B32" s="28" t="n"/>
      <c r="C32" s="28" t="n"/>
      <c r="D32" s="28" t="n"/>
      <c r="E32" s="28" t="n"/>
      <c r="F32" s="28" t="n"/>
      <c r="G32" s="29" t="n"/>
      <c r="H32" s="30" t="n"/>
      <c r="I32" s="28" t="n"/>
      <c r="J32" s="22">
        <f>IF(OR(H32="",I32=""),"",IF(I32="Single Pay",0,H32*IFERROR(INDEX(Lists!$D$2:$D$6,MATCH(I32,Lists!$C$2:$C$6,0)),0)))</f>
        <v/>
      </c>
      <c r="K32" s="31" t="n"/>
      <c r="L32" s="31" t="n"/>
      <c r="M32" s="32" t="n"/>
      <c r="N32" s="25">
        <f>IF(OR(L32="",M32=""),"",EDATE(L32,12*M32))</f>
        <v/>
      </c>
      <c r="O32" s="28" t="n"/>
      <c r="P32" s="32" t="n"/>
      <c r="Q32" s="31" t="n"/>
      <c r="R32" s="26">
        <f>IF(Q32="","",Q32-TODAY())</f>
        <v/>
      </c>
      <c r="S32" s="22">
        <f>IF(A32="","",SUMIFS(Payments!$C$2:$C$301,Payments!$B$2:$B$301,A32))</f>
        <v/>
      </c>
      <c r="T32" s="27">
        <f>IF(A32="","",SUMIFS(Beneficiaries!$E$2:$E$301,Beneficiaries!$A$2:$A$301,A32,Beneficiaries!$D$2:$D$301,"Primary"))</f>
        <v/>
      </c>
      <c r="U32" s="28" t="n"/>
      <c r="V32" s="28" t="n"/>
    </row>
    <row r="33">
      <c r="A33" s="28" t="n"/>
      <c r="B33" s="28" t="n"/>
      <c r="C33" s="28" t="n"/>
      <c r="D33" s="28" t="n"/>
      <c r="E33" s="28" t="n"/>
      <c r="F33" s="28" t="n"/>
      <c r="G33" s="29" t="n"/>
      <c r="H33" s="30" t="n"/>
      <c r="I33" s="28" t="n"/>
      <c r="J33" s="22">
        <f>IF(OR(H33="",I33=""),"",IF(I33="Single Pay",0,H33*IFERROR(INDEX(Lists!$D$2:$D$6,MATCH(I33,Lists!$C$2:$C$6,0)),0)))</f>
        <v/>
      </c>
      <c r="K33" s="31" t="n"/>
      <c r="L33" s="31" t="n"/>
      <c r="M33" s="32" t="n"/>
      <c r="N33" s="25">
        <f>IF(OR(L33="",M33=""),"",EDATE(L33,12*M33))</f>
        <v/>
      </c>
      <c r="O33" s="28" t="n"/>
      <c r="P33" s="32" t="n"/>
      <c r="Q33" s="31" t="n"/>
      <c r="R33" s="26">
        <f>IF(Q33="","",Q33-TODAY())</f>
        <v/>
      </c>
      <c r="S33" s="22">
        <f>IF(A33="","",SUMIFS(Payments!$C$2:$C$301,Payments!$B$2:$B$301,A33))</f>
        <v/>
      </c>
      <c r="T33" s="27">
        <f>IF(A33="","",SUMIFS(Beneficiaries!$E$2:$E$301,Beneficiaries!$A$2:$A$301,A33,Beneficiaries!$D$2:$D$301,"Primary"))</f>
        <v/>
      </c>
      <c r="U33" s="28" t="n"/>
      <c r="V33" s="28" t="n"/>
    </row>
    <row r="34">
      <c r="A34" s="28" t="n"/>
      <c r="B34" s="28" t="n"/>
      <c r="C34" s="28" t="n"/>
      <c r="D34" s="28" t="n"/>
      <c r="E34" s="28" t="n"/>
      <c r="F34" s="28" t="n"/>
      <c r="G34" s="29" t="n"/>
      <c r="H34" s="30" t="n"/>
      <c r="I34" s="28" t="n"/>
      <c r="J34" s="22">
        <f>IF(OR(H34="",I34=""),"",IF(I34="Single Pay",0,H34*IFERROR(INDEX(Lists!$D$2:$D$6,MATCH(I34,Lists!$C$2:$C$6,0)),0)))</f>
        <v/>
      </c>
      <c r="K34" s="31" t="n"/>
      <c r="L34" s="31" t="n"/>
      <c r="M34" s="32" t="n"/>
      <c r="N34" s="25">
        <f>IF(OR(L34="",M34=""),"",EDATE(L34,12*M34))</f>
        <v/>
      </c>
      <c r="O34" s="28" t="n"/>
      <c r="P34" s="32" t="n"/>
      <c r="Q34" s="31" t="n"/>
      <c r="R34" s="26">
        <f>IF(Q34="","",Q34-TODAY())</f>
        <v/>
      </c>
      <c r="S34" s="22">
        <f>IF(A34="","",SUMIFS(Payments!$C$2:$C$301,Payments!$B$2:$B$301,A34))</f>
        <v/>
      </c>
      <c r="T34" s="27">
        <f>IF(A34="","",SUMIFS(Beneficiaries!$E$2:$E$301,Beneficiaries!$A$2:$A$301,A34,Beneficiaries!$D$2:$D$301,"Primary"))</f>
        <v/>
      </c>
      <c r="U34" s="28" t="n"/>
      <c r="V34" s="28" t="n"/>
    </row>
    <row r="35">
      <c r="A35" s="28" t="n"/>
      <c r="B35" s="28" t="n"/>
      <c r="C35" s="28" t="n"/>
      <c r="D35" s="28" t="n"/>
      <c r="E35" s="28" t="n"/>
      <c r="F35" s="28" t="n"/>
      <c r="G35" s="29" t="n"/>
      <c r="H35" s="30" t="n"/>
      <c r="I35" s="28" t="n"/>
      <c r="J35" s="22">
        <f>IF(OR(H35="",I35=""),"",IF(I35="Single Pay",0,H35*IFERROR(INDEX(Lists!$D$2:$D$6,MATCH(I35,Lists!$C$2:$C$6,0)),0)))</f>
        <v/>
      </c>
      <c r="K35" s="31" t="n"/>
      <c r="L35" s="31" t="n"/>
      <c r="M35" s="32" t="n"/>
      <c r="N35" s="25">
        <f>IF(OR(L35="",M35=""),"",EDATE(L35,12*M35))</f>
        <v/>
      </c>
      <c r="O35" s="28" t="n"/>
      <c r="P35" s="32" t="n"/>
      <c r="Q35" s="31" t="n"/>
      <c r="R35" s="26">
        <f>IF(Q35="","",Q35-TODAY())</f>
        <v/>
      </c>
      <c r="S35" s="22">
        <f>IF(A35="","",SUMIFS(Payments!$C$2:$C$301,Payments!$B$2:$B$301,A35))</f>
        <v/>
      </c>
      <c r="T35" s="27">
        <f>IF(A35="","",SUMIFS(Beneficiaries!$E$2:$E$301,Beneficiaries!$A$2:$A$301,A35,Beneficiaries!$D$2:$D$301,"Primary"))</f>
        <v/>
      </c>
      <c r="U35" s="28" t="n"/>
      <c r="V35" s="28" t="n"/>
    </row>
    <row r="36">
      <c r="A36" s="28" t="n"/>
      <c r="B36" s="28" t="n"/>
      <c r="C36" s="28" t="n"/>
      <c r="D36" s="28" t="n"/>
      <c r="E36" s="28" t="n"/>
      <c r="F36" s="28" t="n"/>
      <c r="G36" s="29" t="n"/>
      <c r="H36" s="30" t="n"/>
      <c r="I36" s="28" t="n"/>
      <c r="J36" s="22">
        <f>IF(OR(H36="",I36=""),"",IF(I36="Single Pay",0,H36*IFERROR(INDEX(Lists!$D$2:$D$6,MATCH(I36,Lists!$C$2:$C$6,0)),0)))</f>
        <v/>
      </c>
      <c r="K36" s="31" t="n"/>
      <c r="L36" s="31" t="n"/>
      <c r="M36" s="32" t="n"/>
      <c r="N36" s="25">
        <f>IF(OR(L36="",M36=""),"",EDATE(L36,12*M36))</f>
        <v/>
      </c>
      <c r="O36" s="28" t="n"/>
      <c r="P36" s="32" t="n"/>
      <c r="Q36" s="31" t="n"/>
      <c r="R36" s="26">
        <f>IF(Q36="","",Q36-TODAY())</f>
        <v/>
      </c>
      <c r="S36" s="22">
        <f>IF(A36="","",SUMIFS(Payments!$C$2:$C$301,Payments!$B$2:$B$301,A36))</f>
        <v/>
      </c>
      <c r="T36" s="27">
        <f>IF(A36="","",SUMIFS(Beneficiaries!$E$2:$E$301,Beneficiaries!$A$2:$A$301,A36,Beneficiaries!$D$2:$D$301,"Primary"))</f>
        <v/>
      </c>
      <c r="U36" s="28" t="n"/>
      <c r="V36" s="28" t="n"/>
    </row>
    <row r="37">
      <c r="A37" s="28" t="n"/>
      <c r="B37" s="28" t="n"/>
      <c r="C37" s="28" t="n"/>
      <c r="D37" s="28" t="n"/>
      <c r="E37" s="28" t="n"/>
      <c r="F37" s="28" t="n"/>
      <c r="G37" s="29" t="n"/>
      <c r="H37" s="30" t="n"/>
      <c r="I37" s="28" t="n"/>
      <c r="J37" s="22">
        <f>IF(OR(H37="",I37=""),"",IF(I37="Single Pay",0,H37*IFERROR(INDEX(Lists!$D$2:$D$6,MATCH(I37,Lists!$C$2:$C$6,0)),0)))</f>
        <v/>
      </c>
      <c r="K37" s="31" t="n"/>
      <c r="L37" s="31" t="n"/>
      <c r="M37" s="32" t="n"/>
      <c r="N37" s="25">
        <f>IF(OR(L37="",M37=""),"",EDATE(L37,12*M37))</f>
        <v/>
      </c>
      <c r="O37" s="28" t="n"/>
      <c r="P37" s="32" t="n"/>
      <c r="Q37" s="31" t="n"/>
      <c r="R37" s="26">
        <f>IF(Q37="","",Q37-TODAY())</f>
        <v/>
      </c>
      <c r="S37" s="22">
        <f>IF(A37="","",SUMIFS(Payments!$C$2:$C$301,Payments!$B$2:$B$301,A37))</f>
        <v/>
      </c>
      <c r="T37" s="27">
        <f>IF(A37="","",SUMIFS(Beneficiaries!$E$2:$E$301,Beneficiaries!$A$2:$A$301,A37,Beneficiaries!$D$2:$D$301,"Primary"))</f>
        <v/>
      </c>
      <c r="U37" s="28" t="n"/>
      <c r="V37" s="28" t="n"/>
    </row>
    <row r="38">
      <c r="A38" s="28" t="n"/>
      <c r="B38" s="28" t="n"/>
      <c r="C38" s="28" t="n"/>
      <c r="D38" s="28" t="n"/>
      <c r="E38" s="28" t="n"/>
      <c r="F38" s="28" t="n"/>
      <c r="G38" s="29" t="n"/>
      <c r="H38" s="30" t="n"/>
      <c r="I38" s="28" t="n"/>
      <c r="J38" s="22">
        <f>IF(OR(H38="",I38=""),"",IF(I38="Single Pay",0,H38*IFERROR(INDEX(Lists!$D$2:$D$6,MATCH(I38,Lists!$C$2:$C$6,0)),0)))</f>
        <v/>
      </c>
      <c r="K38" s="31" t="n"/>
      <c r="L38" s="31" t="n"/>
      <c r="M38" s="32" t="n"/>
      <c r="N38" s="25">
        <f>IF(OR(L38="",M38=""),"",EDATE(L38,12*M38))</f>
        <v/>
      </c>
      <c r="O38" s="28" t="n"/>
      <c r="P38" s="32" t="n"/>
      <c r="Q38" s="31" t="n"/>
      <c r="R38" s="26">
        <f>IF(Q38="","",Q38-TODAY())</f>
        <v/>
      </c>
      <c r="S38" s="22">
        <f>IF(A38="","",SUMIFS(Payments!$C$2:$C$301,Payments!$B$2:$B$301,A38))</f>
        <v/>
      </c>
      <c r="T38" s="27">
        <f>IF(A38="","",SUMIFS(Beneficiaries!$E$2:$E$301,Beneficiaries!$A$2:$A$301,A38,Beneficiaries!$D$2:$D$301,"Primary"))</f>
        <v/>
      </c>
      <c r="U38" s="28" t="n"/>
      <c r="V38" s="28" t="n"/>
    </row>
    <row r="39">
      <c r="A39" s="28" t="n"/>
      <c r="B39" s="28" t="n"/>
      <c r="C39" s="28" t="n"/>
      <c r="D39" s="28" t="n"/>
      <c r="E39" s="28" t="n"/>
      <c r="F39" s="28" t="n"/>
      <c r="G39" s="29" t="n"/>
      <c r="H39" s="30" t="n"/>
      <c r="I39" s="28" t="n"/>
      <c r="J39" s="22">
        <f>IF(OR(H39="",I39=""),"",IF(I39="Single Pay",0,H39*IFERROR(INDEX(Lists!$D$2:$D$6,MATCH(I39,Lists!$C$2:$C$6,0)),0)))</f>
        <v/>
      </c>
      <c r="K39" s="31" t="n"/>
      <c r="L39" s="31" t="n"/>
      <c r="M39" s="32" t="n"/>
      <c r="N39" s="25">
        <f>IF(OR(L39="",M39=""),"",EDATE(L39,12*M39))</f>
        <v/>
      </c>
      <c r="O39" s="28" t="n"/>
      <c r="P39" s="32" t="n"/>
      <c r="Q39" s="31" t="n"/>
      <c r="R39" s="26">
        <f>IF(Q39="","",Q39-TODAY())</f>
        <v/>
      </c>
      <c r="S39" s="22">
        <f>IF(A39="","",SUMIFS(Payments!$C$2:$C$301,Payments!$B$2:$B$301,A39))</f>
        <v/>
      </c>
      <c r="T39" s="27">
        <f>IF(A39="","",SUMIFS(Beneficiaries!$E$2:$E$301,Beneficiaries!$A$2:$A$301,A39,Beneficiaries!$D$2:$D$301,"Primary"))</f>
        <v/>
      </c>
      <c r="U39" s="28" t="n"/>
      <c r="V39" s="28" t="n"/>
    </row>
    <row r="40">
      <c r="A40" s="28" t="n"/>
      <c r="B40" s="28" t="n"/>
      <c r="C40" s="28" t="n"/>
      <c r="D40" s="28" t="n"/>
      <c r="E40" s="28" t="n"/>
      <c r="F40" s="28" t="n"/>
      <c r="G40" s="29" t="n"/>
      <c r="H40" s="30" t="n"/>
      <c r="I40" s="28" t="n"/>
      <c r="J40" s="22">
        <f>IF(OR(H40="",I40=""),"",IF(I40="Single Pay",0,H40*IFERROR(INDEX(Lists!$D$2:$D$6,MATCH(I40,Lists!$C$2:$C$6,0)),0)))</f>
        <v/>
      </c>
      <c r="K40" s="31" t="n"/>
      <c r="L40" s="31" t="n"/>
      <c r="M40" s="32" t="n"/>
      <c r="N40" s="25">
        <f>IF(OR(L40="",M40=""),"",EDATE(L40,12*M40))</f>
        <v/>
      </c>
      <c r="O40" s="28" t="n"/>
      <c r="P40" s="32" t="n"/>
      <c r="Q40" s="31" t="n"/>
      <c r="R40" s="26">
        <f>IF(Q40="","",Q40-TODAY())</f>
        <v/>
      </c>
      <c r="S40" s="22">
        <f>IF(A40="","",SUMIFS(Payments!$C$2:$C$301,Payments!$B$2:$B$301,A40))</f>
        <v/>
      </c>
      <c r="T40" s="27">
        <f>IF(A40="","",SUMIFS(Beneficiaries!$E$2:$E$301,Beneficiaries!$A$2:$A$301,A40,Beneficiaries!$D$2:$D$301,"Primary"))</f>
        <v/>
      </c>
      <c r="U40" s="28" t="n"/>
      <c r="V40" s="28" t="n"/>
    </row>
    <row r="41">
      <c r="A41" s="28" t="n"/>
      <c r="B41" s="28" t="n"/>
      <c r="C41" s="28" t="n"/>
      <c r="D41" s="28" t="n"/>
      <c r="E41" s="28" t="n"/>
      <c r="F41" s="28" t="n"/>
      <c r="G41" s="29" t="n"/>
      <c r="H41" s="30" t="n"/>
      <c r="I41" s="28" t="n"/>
      <c r="J41" s="22">
        <f>IF(OR(H41="",I41=""),"",IF(I41="Single Pay",0,H41*IFERROR(INDEX(Lists!$D$2:$D$6,MATCH(I41,Lists!$C$2:$C$6,0)),0)))</f>
        <v/>
      </c>
      <c r="K41" s="31" t="n"/>
      <c r="L41" s="31" t="n"/>
      <c r="M41" s="32" t="n"/>
      <c r="N41" s="25">
        <f>IF(OR(L41="",M41=""),"",EDATE(L41,12*M41))</f>
        <v/>
      </c>
      <c r="O41" s="28" t="n"/>
      <c r="P41" s="32" t="n"/>
      <c r="Q41" s="31" t="n"/>
      <c r="R41" s="26">
        <f>IF(Q41="","",Q41-TODAY())</f>
        <v/>
      </c>
      <c r="S41" s="22">
        <f>IF(A41="","",SUMIFS(Payments!$C$2:$C$301,Payments!$B$2:$B$301,A41))</f>
        <v/>
      </c>
      <c r="T41" s="27">
        <f>IF(A41="","",SUMIFS(Beneficiaries!$E$2:$E$301,Beneficiaries!$A$2:$A$301,A41,Beneficiaries!$D$2:$D$301,"Primary"))</f>
        <v/>
      </c>
      <c r="U41" s="28" t="n"/>
      <c r="V41" s="28" t="n"/>
    </row>
    <row r="42">
      <c r="A42" s="28" t="n"/>
      <c r="B42" s="28" t="n"/>
      <c r="C42" s="28" t="n"/>
      <c r="D42" s="28" t="n"/>
      <c r="E42" s="28" t="n"/>
      <c r="F42" s="28" t="n"/>
      <c r="G42" s="29" t="n"/>
      <c r="H42" s="30" t="n"/>
      <c r="I42" s="28" t="n"/>
      <c r="J42" s="22">
        <f>IF(OR(H42="",I42=""),"",IF(I42="Single Pay",0,H42*IFERROR(INDEX(Lists!$D$2:$D$6,MATCH(I42,Lists!$C$2:$C$6,0)),0)))</f>
        <v/>
      </c>
      <c r="K42" s="31" t="n"/>
      <c r="L42" s="31" t="n"/>
      <c r="M42" s="32" t="n"/>
      <c r="N42" s="25">
        <f>IF(OR(L42="",M42=""),"",EDATE(L42,12*M42))</f>
        <v/>
      </c>
      <c r="O42" s="28" t="n"/>
      <c r="P42" s="32" t="n"/>
      <c r="Q42" s="31" t="n"/>
      <c r="R42" s="26">
        <f>IF(Q42="","",Q42-TODAY())</f>
        <v/>
      </c>
      <c r="S42" s="22">
        <f>IF(A42="","",SUMIFS(Payments!$C$2:$C$301,Payments!$B$2:$B$301,A42))</f>
        <v/>
      </c>
      <c r="T42" s="27">
        <f>IF(A42="","",SUMIFS(Beneficiaries!$E$2:$E$301,Beneficiaries!$A$2:$A$301,A42,Beneficiaries!$D$2:$D$301,"Primary"))</f>
        <v/>
      </c>
      <c r="U42" s="28" t="n"/>
      <c r="V42" s="28" t="n"/>
    </row>
    <row r="43">
      <c r="A43" s="28" t="n"/>
      <c r="B43" s="28" t="n"/>
      <c r="C43" s="28" t="n"/>
      <c r="D43" s="28" t="n"/>
      <c r="E43" s="28" t="n"/>
      <c r="F43" s="28" t="n"/>
      <c r="G43" s="29" t="n"/>
      <c r="H43" s="30" t="n"/>
      <c r="I43" s="28" t="n"/>
      <c r="J43" s="22">
        <f>IF(OR(H43="",I43=""),"",IF(I43="Single Pay",0,H43*IFERROR(INDEX(Lists!$D$2:$D$6,MATCH(I43,Lists!$C$2:$C$6,0)),0)))</f>
        <v/>
      </c>
      <c r="K43" s="31" t="n"/>
      <c r="L43" s="31" t="n"/>
      <c r="M43" s="32" t="n"/>
      <c r="N43" s="25">
        <f>IF(OR(L43="",M43=""),"",EDATE(L43,12*M43))</f>
        <v/>
      </c>
      <c r="O43" s="28" t="n"/>
      <c r="P43" s="32" t="n"/>
      <c r="Q43" s="31" t="n"/>
      <c r="R43" s="26">
        <f>IF(Q43="","",Q43-TODAY())</f>
        <v/>
      </c>
      <c r="S43" s="22">
        <f>IF(A43="","",SUMIFS(Payments!$C$2:$C$301,Payments!$B$2:$B$301,A43))</f>
        <v/>
      </c>
      <c r="T43" s="27">
        <f>IF(A43="","",SUMIFS(Beneficiaries!$E$2:$E$301,Beneficiaries!$A$2:$A$301,A43,Beneficiaries!$D$2:$D$301,"Primary"))</f>
        <v/>
      </c>
      <c r="U43" s="28" t="n"/>
      <c r="V43" s="28" t="n"/>
    </row>
    <row r="44">
      <c r="A44" s="28" t="n"/>
      <c r="B44" s="28" t="n"/>
      <c r="C44" s="28" t="n"/>
      <c r="D44" s="28" t="n"/>
      <c r="E44" s="28" t="n"/>
      <c r="F44" s="28" t="n"/>
      <c r="G44" s="29" t="n"/>
      <c r="H44" s="30" t="n"/>
      <c r="I44" s="28" t="n"/>
      <c r="J44" s="22">
        <f>IF(OR(H44="",I44=""),"",IF(I44="Single Pay",0,H44*IFERROR(INDEX(Lists!$D$2:$D$6,MATCH(I44,Lists!$C$2:$C$6,0)),0)))</f>
        <v/>
      </c>
      <c r="K44" s="31" t="n"/>
      <c r="L44" s="31" t="n"/>
      <c r="M44" s="32" t="n"/>
      <c r="N44" s="25">
        <f>IF(OR(L44="",M44=""),"",EDATE(L44,12*M44))</f>
        <v/>
      </c>
      <c r="O44" s="28" t="n"/>
      <c r="P44" s="32" t="n"/>
      <c r="Q44" s="31" t="n"/>
      <c r="R44" s="26">
        <f>IF(Q44="","",Q44-TODAY())</f>
        <v/>
      </c>
      <c r="S44" s="22">
        <f>IF(A44="","",SUMIFS(Payments!$C$2:$C$301,Payments!$B$2:$B$301,A44))</f>
        <v/>
      </c>
      <c r="T44" s="27">
        <f>IF(A44="","",SUMIFS(Beneficiaries!$E$2:$E$301,Beneficiaries!$A$2:$A$301,A44,Beneficiaries!$D$2:$D$301,"Primary"))</f>
        <v/>
      </c>
      <c r="U44" s="28" t="n"/>
      <c r="V44" s="28" t="n"/>
    </row>
    <row r="45">
      <c r="A45" s="28" t="n"/>
      <c r="B45" s="28" t="n"/>
      <c r="C45" s="28" t="n"/>
      <c r="D45" s="28" t="n"/>
      <c r="E45" s="28" t="n"/>
      <c r="F45" s="28" t="n"/>
      <c r="G45" s="29" t="n"/>
      <c r="H45" s="30" t="n"/>
      <c r="I45" s="28" t="n"/>
      <c r="J45" s="22">
        <f>IF(OR(H45="",I45=""),"",IF(I45="Single Pay",0,H45*IFERROR(INDEX(Lists!$D$2:$D$6,MATCH(I45,Lists!$C$2:$C$6,0)),0)))</f>
        <v/>
      </c>
      <c r="K45" s="31" t="n"/>
      <c r="L45" s="31" t="n"/>
      <c r="M45" s="32" t="n"/>
      <c r="N45" s="25">
        <f>IF(OR(L45="",M45=""),"",EDATE(L45,12*M45))</f>
        <v/>
      </c>
      <c r="O45" s="28" t="n"/>
      <c r="P45" s="32" t="n"/>
      <c r="Q45" s="31" t="n"/>
      <c r="R45" s="26">
        <f>IF(Q45="","",Q45-TODAY())</f>
        <v/>
      </c>
      <c r="S45" s="22">
        <f>IF(A45="","",SUMIFS(Payments!$C$2:$C$301,Payments!$B$2:$B$301,A45))</f>
        <v/>
      </c>
      <c r="T45" s="27">
        <f>IF(A45="","",SUMIFS(Beneficiaries!$E$2:$E$301,Beneficiaries!$A$2:$A$301,A45,Beneficiaries!$D$2:$D$301,"Primary"))</f>
        <v/>
      </c>
      <c r="U45" s="28" t="n"/>
      <c r="V45" s="28" t="n"/>
    </row>
    <row r="46">
      <c r="A46" s="28" t="n"/>
      <c r="B46" s="28" t="n"/>
      <c r="C46" s="28" t="n"/>
      <c r="D46" s="28" t="n"/>
      <c r="E46" s="28" t="n"/>
      <c r="F46" s="28" t="n"/>
      <c r="G46" s="29" t="n"/>
      <c r="H46" s="30" t="n"/>
      <c r="I46" s="28" t="n"/>
      <c r="J46" s="22">
        <f>IF(OR(H46="",I46=""),"",IF(I46="Single Pay",0,H46*IFERROR(INDEX(Lists!$D$2:$D$6,MATCH(I46,Lists!$C$2:$C$6,0)),0)))</f>
        <v/>
      </c>
      <c r="K46" s="31" t="n"/>
      <c r="L46" s="31" t="n"/>
      <c r="M46" s="32" t="n"/>
      <c r="N46" s="25">
        <f>IF(OR(L46="",M46=""),"",EDATE(L46,12*M46))</f>
        <v/>
      </c>
      <c r="O46" s="28" t="n"/>
      <c r="P46" s="32" t="n"/>
      <c r="Q46" s="31" t="n"/>
      <c r="R46" s="26">
        <f>IF(Q46="","",Q46-TODAY())</f>
        <v/>
      </c>
      <c r="S46" s="22">
        <f>IF(A46="","",SUMIFS(Payments!$C$2:$C$301,Payments!$B$2:$B$301,A46))</f>
        <v/>
      </c>
      <c r="T46" s="27">
        <f>IF(A46="","",SUMIFS(Beneficiaries!$E$2:$E$301,Beneficiaries!$A$2:$A$301,A46,Beneficiaries!$D$2:$D$301,"Primary"))</f>
        <v/>
      </c>
      <c r="U46" s="28" t="n"/>
      <c r="V46" s="28" t="n"/>
    </row>
    <row r="47">
      <c r="A47" s="28" t="n"/>
      <c r="B47" s="28" t="n"/>
      <c r="C47" s="28" t="n"/>
      <c r="D47" s="28" t="n"/>
      <c r="E47" s="28" t="n"/>
      <c r="F47" s="28" t="n"/>
      <c r="G47" s="29" t="n"/>
      <c r="H47" s="30" t="n"/>
      <c r="I47" s="28" t="n"/>
      <c r="J47" s="22">
        <f>IF(OR(H47="",I47=""),"",IF(I47="Single Pay",0,H47*IFERROR(INDEX(Lists!$D$2:$D$6,MATCH(I47,Lists!$C$2:$C$6,0)),0)))</f>
        <v/>
      </c>
      <c r="K47" s="31" t="n"/>
      <c r="L47" s="31" t="n"/>
      <c r="M47" s="32" t="n"/>
      <c r="N47" s="25">
        <f>IF(OR(L47="",M47=""),"",EDATE(L47,12*M47))</f>
        <v/>
      </c>
      <c r="O47" s="28" t="n"/>
      <c r="P47" s="32" t="n"/>
      <c r="Q47" s="31" t="n"/>
      <c r="R47" s="26">
        <f>IF(Q47="","",Q47-TODAY())</f>
        <v/>
      </c>
      <c r="S47" s="22">
        <f>IF(A47="","",SUMIFS(Payments!$C$2:$C$301,Payments!$B$2:$B$301,A47))</f>
        <v/>
      </c>
      <c r="T47" s="27">
        <f>IF(A47="","",SUMIFS(Beneficiaries!$E$2:$E$301,Beneficiaries!$A$2:$A$301,A47,Beneficiaries!$D$2:$D$301,"Primary"))</f>
        <v/>
      </c>
      <c r="U47" s="28" t="n"/>
      <c r="V47" s="28" t="n"/>
    </row>
    <row r="48">
      <c r="A48" s="28" t="n"/>
      <c r="B48" s="28" t="n"/>
      <c r="C48" s="28" t="n"/>
      <c r="D48" s="28" t="n"/>
      <c r="E48" s="28" t="n"/>
      <c r="F48" s="28" t="n"/>
      <c r="G48" s="29" t="n"/>
      <c r="H48" s="30" t="n"/>
      <c r="I48" s="28" t="n"/>
      <c r="J48" s="22">
        <f>IF(OR(H48="",I48=""),"",IF(I48="Single Pay",0,H48*IFERROR(INDEX(Lists!$D$2:$D$6,MATCH(I48,Lists!$C$2:$C$6,0)),0)))</f>
        <v/>
      </c>
      <c r="K48" s="31" t="n"/>
      <c r="L48" s="31" t="n"/>
      <c r="M48" s="32" t="n"/>
      <c r="N48" s="25">
        <f>IF(OR(L48="",M48=""),"",EDATE(L48,12*M48))</f>
        <v/>
      </c>
      <c r="O48" s="28" t="n"/>
      <c r="P48" s="32" t="n"/>
      <c r="Q48" s="31" t="n"/>
      <c r="R48" s="26">
        <f>IF(Q48="","",Q48-TODAY())</f>
        <v/>
      </c>
      <c r="S48" s="22">
        <f>IF(A48="","",SUMIFS(Payments!$C$2:$C$301,Payments!$B$2:$B$301,A48))</f>
        <v/>
      </c>
      <c r="T48" s="27">
        <f>IF(A48="","",SUMIFS(Beneficiaries!$E$2:$E$301,Beneficiaries!$A$2:$A$301,A48,Beneficiaries!$D$2:$D$301,"Primary"))</f>
        <v/>
      </c>
      <c r="U48" s="28" t="n"/>
      <c r="V48" s="28" t="n"/>
    </row>
    <row r="49">
      <c r="A49" s="28" t="n"/>
      <c r="B49" s="28" t="n"/>
      <c r="C49" s="28" t="n"/>
      <c r="D49" s="28" t="n"/>
      <c r="E49" s="28" t="n"/>
      <c r="F49" s="28" t="n"/>
      <c r="G49" s="29" t="n"/>
      <c r="H49" s="30" t="n"/>
      <c r="I49" s="28" t="n"/>
      <c r="J49" s="22">
        <f>IF(OR(H49="",I49=""),"",IF(I49="Single Pay",0,H49*IFERROR(INDEX(Lists!$D$2:$D$6,MATCH(I49,Lists!$C$2:$C$6,0)),0)))</f>
        <v/>
      </c>
      <c r="K49" s="31" t="n"/>
      <c r="L49" s="31" t="n"/>
      <c r="M49" s="32" t="n"/>
      <c r="N49" s="25">
        <f>IF(OR(L49="",M49=""),"",EDATE(L49,12*M49))</f>
        <v/>
      </c>
      <c r="O49" s="28" t="n"/>
      <c r="P49" s="32" t="n"/>
      <c r="Q49" s="31" t="n"/>
      <c r="R49" s="26">
        <f>IF(Q49="","",Q49-TODAY())</f>
        <v/>
      </c>
      <c r="S49" s="22">
        <f>IF(A49="","",SUMIFS(Payments!$C$2:$C$301,Payments!$B$2:$B$301,A49))</f>
        <v/>
      </c>
      <c r="T49" s="27">
        <f>IF(A49="","",SUMIFS(Beneficiaries!$E$2:$E$301,Beneficiaries!$A$2:$A$301,A49,Beneficiaries!$D$2:$D$301,"Primary"))</f>
        <v/>
      </c>
      <c r="U49" s="28" t="n"/>
      <c r="V49" s="28" t="n"/>
    </row>
    <row r="50">
      <c r="A50" s="28" t="n"/>
      <c r="B50" s="28" t="n"/>
      <c r="C50" s="28" t="n"/>
      <c r="D50" s="28" t="n"/>
      <c r="E50" s="28" t="n"/>
      <c r="F50" s="28" t="n"/>
      <c r="G50" s="29" t="n"/>
      <c r="H50" s="30" t="n"/>
      <c r="I50" s="28" t="n"/>
      <c r="J50" s="22">
        <f>IF(OR(H50="",I50=""),"",IF(I50="Single Pay",0,H50*IFERROR(INDEX(Lists!$D$2:$D$6,MATCH(I50,Lists!$C$2:$C$6,0)),0)))</f>
        <v/>
      </c>
      <c r="K50" s="31" t="n"/>
      <c r="L50" s="31" t="n"/>
      <c r="M50" s="32" t="n"/>
      <c r="N50" s="25">
        <f>IF(OR(L50="",M50=""),"",EDATE(L50,12*M50))</f>
        <v/>
      </c>
      <c r="O50" s="28" t="n"/>
      <c r="P50" s="32" t="n"/>
      <c r="Q50" s="31" t="n"/>
      <c r="R50" s="26">
        <f>IF(Q50="","",Q50-TODAY())</f>
        <v/>
      </c>
      <c r="S50" s="22">
        <f>IF(A50="","",SUMIFS(Payments!$C$2:$C$301,Payments!$B$2:$B$301,A50))</f>
        <v/>
      </c>
      <c r="T50" s="27">
        <f>IF(A50="","",SUMIFS(Beneficiaries!$E$2:$E$301,Beneficiaries!$A$2:$A$301,A50,Beneficiaries!$D$2:$D$301,"Primary"))</f>
        <v/>
      </c>
      <c r="U50" s="28" t="n"/>
      <c r="V50" s="28" t="n"/>
    </row>
    <row r="51">
      <c r="A51" s="28" t="n"/>
      <c r="B51" s="28" t="n"/>
      <c r="C51" s="28" t="n"/>
      <c r="D51" s="28" t="n"/>
      <c r="E51" s="28" t="n"/>
      <c r="F51" s="28" t="n"/>
      <c r="G51" s="29" t="n"/>
      <c r="H51" s="30" t="n"/>
      <c r="I51" s="28" t="n"/>
      <c r="J51" s="22">
        <f>IF(OR(H51="",I51=""),"",IF(I51="Single Pay",0,H51*IFERROR(INDEX(Lists!$D$2:$D$6,MATCH(I51,Lists!$C$2:$C$6,0)),0)))</f>
        <v/>
      </c>
      <c r="K51" s="31" t="n"/>
      <c r="L51" s="31" t="n"/>
      <c r="M51" s="32" t="n"/>
      <c r="N51" s="25">
        <f>IF(OR(L51="",M51=""),"",EDATE(L51,12*M51))</f>
        <v/>
      </c>
      <c r="O51" s="28" t="n"/>
      <c r="P51" s="32" t="n"/>
      <c r="Q51" s="31" t="n"/>
      <c r="R51" s="26">
        <f>IF(Q51="","",Q51-TODAY())</f>
        <v/>
      </c>
      <c r="S51" s="22">
        <f>IF(A51="","",SUMIFS(Payments!$C$2:$C$301,Payments!$B$2:$B$301,A51))</f>
        <v/>
      </c>
      <c r="T51" s="27">
        <f>IF(A51="","",SUMIFS(Beneficiaries!$E$2:$E$301,Beneficiaries!$A$2:$A$301,A51,Beneficiaries!$D$2:$D$301,"Primary"))</f>
        <v/>
      </c>
      <c r="U51" s="28" t="n"/>
      <c r="V51" s="28" t="n"/>
    </row>
    <row r="52">
      <c r="A52" s="28" t="n"/>
      <c r="B52" s="28" t="n"/>
      <c r="C52" s="28" t="n"/>
      <c r="D52" s="28" t="n"/>
      <c r="E52" s="28" t="n"/>
      <c r="F52" s="28" t="n"/>
      <c r="G52" s="29" t="n"/>
      <c r="H52" s="30" t="n"/>
      <c r="I52" s="28" t="n"/>
      <c r="J52" s="22">
        <f>IF(OR(H52="",I52=""),"",IF(I52="Single Pay",0,H52*IFERROR(INDEX(Lists!$D$2:$D$6,MATCH(I52,Lists!$C$2:$C$6,0)),0)))</f>
        <v/>
      </c>
      <c r="K52" s="31" t="n"/>
      <c r="L52" s="31" t="n"/>
      <c r="M52" s="32" t="n"/>
      <c r="N52" s="25">
        <f>IF(OR(L52="",M52=""),"",EDATE(L52,12*M52))</f>
        <v/>
      </c>
      <c r="O52" s="28" t="n"/>
      <c r="P52" s="32" t="n"/>
      <c r="Q52" s="31" t="n"/>
      <c r="R52" s="26">
        <f>IF(Q52="","",Q52-TODAY())</f>
        <v/>
      </c>
      <c r="S52" s="22">
        <f>IF(A52="","",SUMIFS(Payments!$C$2:$C$301,Payments!$B$2:$B$301,A52))</f>
        <v/>
      </c>
      <c r="T52" s="27">
        <f>IF(A52="","",SUMIFS(Beneficiaries!$E$2:$E$301,Beneficiaries!$A$2:$A$301,A52,Beneficiaries!$D$2:$D$301,"Primary"))</f>
        <v/>
      </c>
      <c r="U52" s="28" t="n"/>
      <c r="V52" s="28" t="n"/>
    </row>
    <row r="53">
      <c r="A53" s="28" t="n"/>
      <c r="B53" s="28" t="n"/>
      <c r="C53" s="28" t="n"/>
      <c r="D53" s="28" t="n"/>
      <c r="E53" s="28" t="n"/>
      <c r="F53" s="28" t="n"/>
      <c r="G53" s="29" t="n"/>
      <c r="H53" s="30" t="n"/>
      <c r="I53" s="28" t="n"/>
      <c r="J53" s="22">
        <f>IF(OR(H53="",I53=""),"",IF(I53="Single Pay",0,H53*IFERROR(INDEX(Lists!$D$2:$D$6,MATCH(I53,Lists!$C$2:$C$6,0)),0)))</f>
        <v/>
      </c>
      <c r="K53" s="31" t="n"/>
      <c r="L53" s="31" t="n"/>
      <c r="M53" s="32" t="n"/>
      <c r="N53" s="25">
        <f>IF(OR(L53="",M53=""),"",EDATE(L53,12*M53))</f>
        <v/>
      </c>
      <c r="O53" s="28" t="n"/>
      <c r="P53" s="32" t="n"/>
      <c r="Q53" s="31" t="n"/>
      <c r="R53" s="26">
        <f>IF(Q53="","",Q53-TODAY())</f>
        <v/>
      </c>
      <c r="S53" s="22">
        <f>IF(A53="","",SUMIFS(Payments!$C$2:$C$301,Payments!$B$2:$B$301,A53))</f>
        <v/>
      </c>
      <c r="T53" s="27">
        <f>IF(A53="","",SUMIFS(Beneficiaries!$E$2:$E$301,Beneficiaries!$A$2:$A$301,A53,Beneficiaries!$D$2:$D$301,"Primary"))</f>
        <v/>
      </c>
      <c r="U53" s="28" t="n"/>
      <c r="V53" s="28" t="n"/>
    </row>
    <row r="54">
      <c r="A54" s="28" t="n"/>
      <c r="B54" s="28" t="n"/>
      <c r="C54" s="28" t="n"/>
      <c r="D54" s="28" t="n"/>
      <c r="E54" s="28" t="n"/>
      <c r="F54" s="28" t="n"/>
      <c r="G54" s="29" t="n"/>
      <c r="H54" s="30" t="n"/>
      <c r="I54" s="28" t="n"/>
      <c r="J54" s="22">
        <f>IF(OR(H54="",I54=""),"",IF(I54="Single Pay",0,H54*IFERROR(INDEX(Lists!$D$2:$D$6,MATCH(I54,Lists!$C$2:$C$6,0)),0)))</f>
        <v/>
      </c>
      <c r="K54" s="31" t="n"/>
      <c r="L54" s="31" t="n"/>
      <c r="M54" s="32" t="n"/>
      <c r="N54" s="25">
        <f>IF(OR(L54="",M54=""),"",EDATE(L54,12*M54))</f>
        <v/>
      </c>
      <c r="O54" s="28" t="n"/>
      <c r="P54" s="32" t="n"/>
      <c r="Q54" s="31" t="n"/>
      <c r="R54" s="26">
        <f>IF(Q54="","",Q54-TODAY())</f>
        <v/>
      </c>
      <c r="S54" s="22">
        <f>IF(A54="","",SUMIFS(Payments!$C$2:$C$301,Payments!$B$2:$B$301,A54))</f>
        <v/>
      </c>
      <c r="T54" s="27">
        <f>IF(A54="","",SUMIFS(Beneficiaries!$E$2:$E$301,Beneficiaries!$A$2:$A$301,A54,Beneficiaries!$D$2:$D$301,"Primary"))</f>
        <v/>
      </c>
      <c r="U54" s="28" t="n"/>
      <c r="V54" s="28" t="n"/>
    </row>
    <row r="55">
      <c r="A55" s="28" t="n"/>
      <c r="B55" s="28" t="n"/>
      <c r="C55" s="28" t="n"/>
      <c r="D55" s="28" t="n"/>
      <c r="E55" s="28" t="n"/>
      <c r="F55" s="28" t="n"/>
      <c r="G55" s="29" t="n"/>
      <c r="H55" s="30" t="n"/>
      <c r="I55" s="28" t="n"/>
      <c r="J55" s="22">
        <f>IF(OR(H55="",I55=""),"",IF(I55="Single Pay",0,H55*IFERROR(INDEX(Lists!$D$2:$D$6,MATCH(I55,Lists!$C$2:$C$6,0)),0)))</f>
        <v/>
      </c>
      <c r="K55" s="31" t="n"/>
      <c r="L55" s="31" t="n"/>
      <c r="M55" s="32" t="n"/>
      <c r="N55" s="25">
        <f>IF(OR(L55="",M55=""),"",EDATE(L55,12*M55))</f>
        <v/>
      </c>
      <c r="O55" s="28" t="n"/>
      <c r="P55" s="32" t="n"/>
      <c r="Q55" s="31" t="n"/>
      <c r="R55" s="26">
        <f>IF(Q55="","",Q55-TODAY())</f>
        <v/>
      </c>
      <c r="S55" s="22">
        <f>IF(A55="","",SUMIFS(Payments!$C$2:$C$301,Payments!$B$2:$B$301,A55))</f>
        <v/>
      </c>
      <c r="T55" s="27">
        <f>IF(A55="","",SUMIFS(Beneficiaries!$E$2:$E$301,Beneficiaries!$A$2:$A$301,A55,Beneficiaries!$D$2:$D$301,"Primary"))</f>
        <v/>
      </c>
      <c r="U55" s="28" t="n"/>
      <c r="V55" s="28" t="n"/>
    </row>
    <row r="56">
      <c r="A56" s="28" t="n"/>
      <c r="B56" s="28" t="n"/>
      <c r="C56" s="28" t="n"/>
      <c r="D56" s="28" t="n"/>
      <c r="E56" s="28" t="n"/>
      <c r="F56" s="28" t="n"/>
      <c r="G56" s="29" t="n"/>
      <c r="H56" s="30" t="n"/>
      <c r="I56" s="28" t="n"/>
      <c r="J56" s="22">
        <f>IF(OR(H56="",I56=""),"",IF(I56="Single Pay",0,H56*IFERROR(INDEX(Lists!$D$2:$D$6,MATCH(I56,Lists!$C$2:$C$6,0)),0)))</f>
        <v/>
      </c>
      <c r="K56" s="31" t="n"/>
      <c r="L56" s="31" t="n"/>
      <c r="M56" s="32" t="n"/>
      <c r="N56" s="25">
        <f>IF(OR(L56="",M56=""),"",EDATE(L56,12*M56))</f>
        <v/>
      </c>
      <c r="O56" s="28" t="n"/>
      <c r="P56" s="32" t="n"/>
      <c r="Q56" s="31" t="n"/>
      <c r="R56" s="26">
        <f>IF(Q56="","",Q56-TODAY())</f>
        <v/>
      </c>
      <c r="S56" s="22">
        <f>IF(A56="","",SUMIFS(Payments!$C$2:$C$301,Payments!$B$2:$B$301,A56))</f>
        <v/>
      </c>
      <c r="T56" s="27">
        <f>IF(A56="","",SUMIFS(Beneficiaries!$E$2:$E$301,Beneficiaries!$A$2:$A$301,A56,Beneficiaries!$D$2:$D$301,"Primary"))</f>
        <v/>
      </c>
      <c r="U56" s="28" t="n"/>
      <c r="V56" s="28" t="n"/>
    </row>
    <row r="57">
      <c r="A57" s="28" t="n"/>
      <c r="B57" s="28" t="n"/>
      <c r="C57" s="28" t="n"/>
      <c r="D57" s="28" t="n"/>
      <c r="E57" s="28" t="n"/>
      <c r="F57" s="28" t="n"/>
      <c r="G57" s="29" t="n"/>
      <c r="H57" s="30" t="n"/>
      <c r="I57" s="28" t="n"/>
      <c r="J57" s="22">
        <f>IF(OR(H57="",I57=""),"",IF(I57="Single Pay",0,H57*IFERROR(INDEX(Lists!$D$2:$D$6,MATCH(I57,Lists!$C$2:$C$6,0)),0)))</f>
        <v/>
      </c>
      <c r="K57" s="31" t="n"/>
      <c r="L57" s="31" t="n"/>
      <c r="M57" s="32" t="n"/>
      <c r="N57" s="25">
        <f>IF(OR(L57="",M57=""),"",EDATE(L57,12*M57))</f>
        <v/>
      </c>
      <c r="O57" s="28" t="n"/>
      <c r="P57" s="32" t="n"/>
      <c r="Q57" s="31" t="n"/>
      <c r="R57" s="26">
        <f>IF(Q57="","",Q57-TODAY())</f>
        <v/>
      </c>
      <c r="S57" s="22">
        <f>IF(A57="","",SUMIFS(Payments!$C$2:$C$301,Payments!$B$2:$B$301,A57))</f>
        <v/>
      </c>
      <c r="T57" s="27">
        <f>IF(A57="","",SUMIFS(Beneficiaries!$E$2:$E$301,Beneficiaries!$A$2:$A$301,A57,Beneficiaries!$D$2:$D$301,"Primary"))</f>
        <v/>
      </c>
      <c r="U57" s="28" t="n"/>
      <c r="V57" s="28" t="n"/>
    </row>
    <row r="58">
      <c r="A58" s="28" t="n"/>
      <c r="B58" s="28" t="n"/>
      <c r="C58" s="28" t="n"/>
      <c r="D58" s="28" t="n"/>
      <c r="E58" s="28" t="n"/>
      <c r="F58" s="28" t="n"/>
      <c r="G58" s="29" t="n"/>
      <c r="H58" s="30" t="n"/>
      <c r="I58" s="28" t="n"/>
      <c r="J58" s="22">
        <f>IF(OR(H58="",I58=""),"",IF(I58="Single Pay",0,H58*IFERROR(INDEX(Lists!$D$2:$D$6,MATCH(I58,Lists!$C$2:$C$6,0)),0)))</f>
        <v/>
      </c>
      <c r="K58" s="31" t="n"/>
      <c r="L58" s="31" t="n"/>
      <c r="M58" s="32" t="n"/>
      <c r="N58" s="25">
        <f>IF(OR(L58="",M58=""),"",EDATE(L58,12*M58))</f>
        <v/>
      </c>
      <c r="O58" s="28" t="n"/>
      <c r="P58" s="32" t="n"/>
      <c r="Q58" s="31" t="n"/>
      <c r="R58" s="26">
        <f>IF(Q58="","",Q58-TODAY())</f>
        <v/>
      </c>
      <c r="S58" s="22">
        <f>IF(A58="","",SUMIFS(Payments!$C$2:$C$301,Payments!$B$2:$B$301,A58))</f>
        <v/>
      </c>
      <c r="T58" s="27">
        <f>IF(A58="","",SUMIFS(Beneficiaries!$E$2:$E$301,Beneficiaries!$A$2:$A$301,A58,Beneficiaries!$D$2:$D$301,"Primary"))</f>
        <v/>
      </c>
      <c r="U58" s="28" t="n"/>
      <c r="V58" s="28" t="n"/>
    </row>
    <row r="59">
      <c r="A59" s="28" t="n"/>
      <c r="B59" s="28" t="n"/>
      <c r="C59" s="28" t="n"/>
      <c r="D59" s="28" t="n"/>
      <c r="E59" s="28" t="n"/>
      <c r="F59" s="28" t="n"/>
      <c r="G59" s="29" t="n"/>
      <c r="H59" s="30" t="n"/>
      <c r="I59" s="28" t="n"/>
      <c r="J59" s="22">
        <f>IF(OR(H59="",I59=""),"",IF(I59="Single Pay",0,H59*IFERROR(INDEX(Lists!$D$2:$D$6,MATCH(I59,Lists!$C$2:$C$6,0)),0)))</f>
        <v/>
      </c>
      <c r="K59" s="31" t="n"/>
      <c r="L59" s="31" t="n"/>
      <c r="M59" s="32" t="n"/>
      <c r="N59" s="25">
        <f>IF(OR(L59="",M59=""),"",EDATE(L59,12*M59))</f>
        <v/>
      </c>
      <c r="O59" s="28" t="n"/>
      <c r="P59" s="32" t="n"/>
      <c r="Q59" s="31" t="n"/>
      <c r="R59" s="26">
        <f>IF(Q59="","",Q59-TODAY())</f>
        <v/>
      </c>
      <c r="S59" s="22">
        <f>IF(A59="","",SUMIFS(Payments!$C$2:$C$301,Payments!$B$2:$B$301,A59))</f>
        <v/>
      </c>
      <c r="T59" s="27">
        <f>IF(A59="","",SUMIFS(Beneficiaries!$E$2:$E$301,Beneficiaries!$A$2:$A$301,A59,Beneficiaries!$D$2:$D$301,"Primary"))</f>
        <v/>
      </c>
      <c r="U59" s="28" t="n"/>
      <c r="V59" s="28" t="n"/>
    </row>
    <row r="60">
      <c r="A60" s="28" t="n"/>
      <c r="B60" s="28" t="n"/>
      <c r="C60" s="28" t="n"/>
      <c r="D60" s="28" t="n"/>
      <c r="E60" s="28" t="n"/>
      <c r="F60" s="28" t="n"/>
      <c r="G60" s="29" t="n"/>
      <c r="H60" s="30" t="n"/>
      <c r="I60" s="28" t="n"/>
      <c r="J60" s="22">
        <f>IF(OR(H60="",I60=""),"",IF(I60="Single Pay",0,H60*IFERROR(INDEX(Lists!$D$2:$D$6,MATCH(I60,Lists!$C$2:$C$6,0)),0)))</f>
        <v/>
      </c>
      <c r="K60" s="31" t="n"/>
      <c r="L60" s="31" t="n"/>
      <c r="M60" s="32" t="n"/>
      <c r="N60" s="25">
        <f>IF(OR(L60="",M60=""),"",EDATE(L60,12*M60))</f>
        <v/>
      </c>
      <c r="O60" s="28" t="n"/>
      <c r="P60" s="32" t="n"/>
      <c r="Q60" s="31" t="n"/>
      <c r="R60" s="26">
        <f>IF(Q60="","",Q60-TODAY())</f>
        <v/>
      </c>
      <c r="S60" s="22">
        <f>IF(A60="","",SUMIFS(Payments!$C$2:$C$301,Payments!$B$2:$B$301,A60))</f>
        <v/>
      </c>
      <c r="T60" s="27">
        <f>IF(A60="","",SUMIFS(Beneficiaries!$E$2:$E$301,Beneficiaries!$A$2:$A$301,A60,Beneficiaries!$D$2:$D$301,"Primary"))</f>
        <v/>
      </c>
      <c r="U60" s="28" t="n"/>
      <c r="V60" s="28" t="n"/>
    </row>
    <row r="61">
      <c r="A61" s="28" t="n"/>
      <c r="B61" s="28" t="n"/>
      <c r="C61" s="28" t="n"/>
      <c r="D61" s="28" t="n"/>
      <c r="E61" s="28" t="n"/>
      <c r="F61" s="28" t="n"/>
      <c r="G61" s="29" t="n"/>
      <c r="H61" s="30" t="n"/>
      <c r="I61" s="28" t="n"/>
      <c r="J61" s="22">
        <f>IF(OR(H61="",I61=""),"",IF(I61="Single Pay",0,H61*IFERROR(INDEX(Lists!$D$2:$D$6,MATCH(I61,Lists!$C$2:$C$6,0)),0)))</f>
        <v/>
      </c>
      <c r="K61" s="31" t="n"/>
      <c r="L61" s="31" t="n"/>
      <c r="M61" s="32" t="n"/>
      <c r="N61" s="25">
        <f>IF(OR(L61="",M61=""),"",EDATE(L61,12*M61))</f>
        <v/>
      </c>
      <c r="O61" s="28" t="n"/>
      <c r="P61" s="32" t="n"/>
      <c r="Q61" s="31" t="n"/>
      <c r="R61" s="26">
        <f>IF(Q61="","",Q61-TODAY())</f>
        <v/>
      </c>
      <c r="S61" s="22">
        <f>IF(A61="","",SUMIFS(Payments!$C$2:$C$301,Payments!$B$2:$B$301,A61))</f>
        <v/>
      </c>
      <c r="T61" s="27">
        <f>IF(A61="","",SUMIFS(Beneficiaries!$E$2:$E$301,Beneficiaries!$A$2:$A$301,A61,Beneficiaries!$D$2:$D$301,"Primary"))</f>
        <v/>
      </c>
      <c r="U61" s="28" t="n"/>
      <c r="V61" s="28" t="n"/>
    </row>
    <row r="62">
      <c r="A62" s="28" t="n"/>
      <c r="B62" s="28" t="n"/>
      <c r="C62" s="28" t="n"/>
      <c r="D62" s="28" t="n"/>
      <c r="E62" s="28" t="n"/>
      <c r="F62" s="28" t="n"/>
      <c r="G62" s="29" t="n"/>
      <c r="H62" s="30" t="n"/>
      <c r="I62" s="28" t="n"/>
      <c r="J62" s="22">
        <f>IF(OR(H62="",I62=""),"",IF(I62="Single Pay",0,H62*IFERROR(INDEX(Lists!$D$2:$D$6,MATCH(I62,Lists!$C$2:$C$6,0)),0)))</f>
        <v/>
      </c>
      <c r="K62" s="31" t="n"/>
      <c r="L62" s="31" t="n"/>
      <c r="M62" s="32" t="n"/>
      <c r="N62" s="25">
        <f>IF(OR(L62="",M62=""),"",EDATE(L62,12*M62))</f>
        <v/>
      </c>
      <c r="O62" s="28" t="n"/>
      <c r="P62" s="32" t="n"/>
      <c r="Q62" s="31" t="n"/>
      <c r="R62" s="26">
        <f>IF(Q62="","",Q62-TODAY())</f>
        <v/>
      </c>
      <c r="S62" s="22">
        <f>IF(A62="","",SUMIFS(Payments!$C$2:$C$301,Payments!$B$2:$B$301,A62))</f>
        <v/>
      </c>
      <c r="T62" s="27">
        <f>IF(A62="","",SUMIFS(Beneficiaries!$E$2:$E$301,Beneficiaries!$A$2:$A$301,A62,Beneficiaries!$D$2:$D$301,"Primary"))</f>
        <v/>
      </c>
      <c r="U62" s="28" t="n"/>
      <c r="V62" s="28" t="n"/>
    </row>
    <row r="63">
      <c r="A63" s="28" t="n"/>
      <c r="B63" s="28" t="n"/>
      <c r="C63" s="28" t="n"/>
      <c r="D63" s="28" t="n"/>
      <c r="E63" s="28" t="n"/>
      <c r="F63" s="28" t="n"/>
      <c r="G63" s="29" t="n"/>
      <c r="H63" s="30" t="n"/>
      <c r="I63" s="28" t="n"/>
      <c r="J63" s="22">
        <f>IF(OR(H63="",I63=""),"",IF(I63="Single Pay",0,H63*IFERROR(INDEX(Lists!$D$2:$D$6,MATCH(I63,Lists!$C$2:$C$6,0)),0)))</f>
        <v/>
      </c>
      <c r="K63" s="31" t="n"/>
      <c r="L63" s="31" t="n"/>
      <c r="M63" s="32" t="n"/>
      <c r="N63" s="25">
        <f>IF(OR(L63="",M63=""),"",EDATE(L63,12*M63))</f>
        <v/>
      </c>
      <c r="O63" s="28" t="n"/>
      <c r="P63" s="32" t="n"/>
      <c r="Q63" s="31" t="n"/>
      <c r="R63" s="26">
        <f>IF(Q63="","",Q63-TODAY())</f>
        <v/>
      </c>
      <c r="S63" s="22">
        <f>IF(A63="","",SUMIFS(Payments!$C$2:$C$301,Payments!$B$2:$B$301,A63))</f>
        <v/>
      </c>
      <c r="T63" s="27">
        <f>IF(A63="","",SUMIFS(Beneficiaries!$E$2:$E$301,Beneficiaries!$A$2:$A$301,A63,Beneficiaries!$D$2:$D$301,"Primary"))</f>
        <v/>
      </c>
      <c r="U63" s="28" t="n"/>
      <c r="V63" s="28" t="n"/>
    </row>
    <row r="64">
      <c r="A64" s="28" t="n"/>
      <c r="B64" s="28" t="n"/>
      <c r="C64" s="28" t="n"/>
      <c r="D64" s="28" t="n"/>
      <c r="E64" s="28" t="n"/>
      <c r="F64" s="28" t="n"/>
      <c r="G64" s="29" t="n"/>
      <c r="H64" s="30" t="n"/>
      <c r="I64" s="28" t="n"/>
      <c r="J64" s="22">
        <f>IF(OR(H64="",I64=""),"",IF(I64="Single Pay",0,H64*IFERROR(INDEX(Lists!$D$2:$D$6,MATCH(I64,Lists!$C$2:$C$6,0)),0)))</f>
        <v/>
      </c>
      <c r="K64" s="31" t="n"/>
      <c r="L64" s="31" t="n"/>
      <c r="M64" s="32" t="n"/>
      <c r="N64" s="25">
        <f>IF(OR(L64="",M64=""),"",EDATE(L64,12*M64))</f>
        <v/>
      </c>
      <c r="O64" s="28" t="n"/>
      <c r="P64" s="32" t="n"/>
      <c r="Q64" s="31" t="n"/>
      <c r="R64" s="26">
        <f>IF(Q64="","",Q64-TODAY())</f>
        <v/>
      </c>
      <c r="S64" s="22">
        <f>IF(A64="","",SUMIFS(Payments!$C$2:$C$301,Payments!$B$2:$B$301,A64))</f>
        <v/>
      </c>
      <c r="T64" s="27">
        <f>IF(A64="","",SUMIFS(Beneficiaries!$E$2:$E$301,Beneficiaries!$A$2:$A$301,A64,Beneficiaries!$D$2:$D$301,"Primary"))</f>
        <v/>
      </c>
      <c r="U64" s="28" t="n"/>
      <c r="V64" s="28" t="n"/>
    </row>
    <row r="65">
      <c r="A65" s="28" t="n"/>
      <c r="B65" s="28" t="n"/>
      <c r="C65" s="28" t="n"/>
      <c r="D65" s="28" t="n"/>
      <c r="E65" s="28" t="n"/>
      <c r="F65" s="28" t="n"/>
      <c r="G65" s="29" t="n"/>
      <c r="H65" s="30" t="n"/>
      <c r="I65" s="28" t="n"/>
      <c r="J65" s="22">
        <f>IF(OR(H65="",I65=""),"",IF(I65="Single Pay",0,H65*IFERROR(INDEX(Lists!$D$2:$D$6,MATCH(I65,Lists!$C$2:$C$6,0)),0)))</f>
        <v/>
      </c>
      <c r="K65" s="31" t="n"/>
      <c r="L65" s="31" t="n"/>
      <c r="M65" s="32" t="n"/>
      <c r="N65" s="25">
        <f>IF(OR(L65="",M65=""),"",EDATE(L65,12*M65))</f>
        <v/>
      </c>
      <c r="O65" s="28" t="n"/>
      <c r="P65" s="32" t="n"/>
      <c r="Q65" s="31" t="n"/>
      <c r="R65" s="26">
        <f>IF(Q65="","",Q65-TODAY())</f>
        <v/>
      </c>
      <c r="S65" s="22">
        <f>IF(A65="","",SUMIFS(Payments!$C$2:$C$301,Payments!$B$2:$B$301,A65))</f>
        <v/>
      </c>
      <c r="T65" s="27">
        <f>IF(A65="","",SUMIFS(Beneficiaries!$E$2:$E$301,Beneficiaries!$A$2:$A$301,A65,Beneficiaries!$D$2:$D$301,"Primary"))</f>
        <v/>
      </c>
      <c r="U65" s="28" t="n"/>
      <c r="V65" s="28" t="n"/>
    </row>
    <row r="66">
      <c r="A66" s="28" t="n"/>
      <c r="B66" s="28" t="n"/>
      <c r="C66" s="28" t="n"/>
      <c r="D66" s="28" t="n"/>
      <c r="E66" s="28" t="n"/>
      <c r="F66" s="28" t="n"/>
      <c r="G66" s="29" t="n"/>
      <c r="H66" s="30" t="n"/>
      <c r="I66" s="28" t="n"/>
      <c r="J66" s="22">
        <f>IF(OR(H66="",I66=""),"",IF(I66="Single Pay",0,H66*IFERROR(INDEX(Lists!$D$2:$D$6,MATCH(I66,Lists!$C$2:$C$6,0)),0)))</f>
        <v/>
      </c>
      <c r="K66" s="31" t="n"/>
      <c r="L66" s="31" t="n"/>
      <c r="M66" s="32" t="n"/>
      <c r="N66" s="25">
        <f>IF(OR(L66="",M66=""),"",EDATE(L66,12*M66))</f>
        <v/>
      </c>
      <c r="O66" s="28" t="n"/>
      <c r="P66" s="32" t="n"/>
      <c r="Q66" s="31" t="n"/>
      <c r="R66" s="26">
        <f>IF(Q66="","",Q66-TODAY())</f>
        <v/>
      </c>
      <c r="S66" s="22">
        <f>IF(A66="","",SUMIFS(Payments!$C$2:$C$301,Payments!$B$2:$B$301,A66))</f>
        <v/>
      </c>
      <c r="T66" s="27">
        <f>IF(A66="","",SUMIFS(Beneficiaries!$E$2:$E$301,Beneficiaries!$A$2:$A$301,A66,Beneficiaries!$D$2:$D$301,"Primary"))</f>
        <v/>
      </c>
      <c r="U66" s="28" t="n"/>
      <c r="V66" s="28" t="n"/>
    </row>
    <row r="67">
      <c r="A67" s="28" t="n"/>
      <c r="B67" s="28" t="n"/>
      <c r="C67" s="28" t="n"/>
      <c r="D67" s="28" t="n"/>
      <c r="E67" s="28" t="n"/>
      <c r="F67" s="28" t="n"/>
      <c r="G67" s="29" t="n"/>
      <c r="H67" s="30" t="n"/>
      <c r="I67" s="28" t="n"/>
      <c r="J67" s="22">
        <f>IF(OR(H67="",I67=""),"",IF(I67="Single Pay",0,H67*IFERROR(INDEX(Lists!$D$2:$D$6,MATCH(I67,Lists!$C$2:$C$6,0)),0)))</f>
        <v/>
      </c>
      <c r="K67" s="31" t="n"/>
      <c r="L67" s="31" t="n"/>
      <c r="M67" s="32" t="n"/>
      <c r="N67" s="25">
        <f>IF(OR(L67="",M67=""),"",EDATE(L67,12*M67))</f>
        <v/>
      </c>
      <c r="O67" s="28" t="n"/>
      <c r="P67" s="32" t="n"/>
      <c r="Q67" s="31" t="n"/>
      <c r="R67" s="26">
        <f>IF(Q67="","",Q67-TODAY())</f>
        <v/>
      </c>
      <c r="S67" s="22">
        <f>IF(A67="","",SUMIFS(Payments!$C$2:$C$301,Payments!$B$2:$B$301,A67))</f>
        <v/>
      </c>
      <c r="T67" s="27">
        <f>IF(A67="","",SUMIFS(Beneficiaries!$E$2:$E$301,Beneficiaries!$A$2:$A$301,A67,Beneficiaries!$D$2:$D$301,"Primary"))</f>
        <v/>
      </c>
      <c r="U67" s="28" t="n"/>
      <c r="V67" s="28" t="n"/>
    </row>
    <row r="68">
      <c r="A68" s="28" t="n"/>
      <c r="B68" s="28" t="n"/>
      <c r="C68" s="28" t="n"/>
      <c r="D68" s="28" t="n"/>
      <c r="E68" s="28" t="n"/>
      <c r="F68" s="28" t="n"/>
      <c r="G68" s="29" t="n"/>
      <c r="H68" s="30" t="n"/>
      <c r="I68" s="28" t="n"/>
      <c r="J68" s="22">
        <f>IF(OR(H68="",I68=""),"",IF(I68="Single Pay",0,H68*IFERROR(INDEX(Lists!$D$2:$D$6,MATCH(I68,Lists!$C$2:$C$6,0)),0)))</f>
        <v/>
      </c>
      <c r="K68" s="31" t="n"/>
      <c r="L68" s="31" t="n"/>
      <c r="M68" s="32" t="n"/>
      <c r="N68" s="25">
        <f>IF(OR(L68="",M68=""),"",EDATE(L68,12*M68))</f>
        <v/>
      </c>
      <c r="O68" s="28" t="n"/>
      <c r="P68" s="32" t="n"/>
      <c r="Q68" s="31" t="n"/>
      <c r="R68" s="26">
        <f>IF(Q68="","",Q68-TODAY())</f>
        <v/>
      </c>
      <c r="S68" s="22">
        <f>IF(A68="","",SUMIFS(Payments!$C$2:$C$301,Payments!$B$2:$B$301,A68))</f>
        <v/>
      </c>
      <c r="T68" s="27">
        <f>IF(A68="","",SUMIFS(Beneficiaries!$E$2:$E$301,Beneficiaries!$A$2:$A$301,A68,Beneficiaries!$D$2:$D$301,"Primary"))</f>
        <v/>
      </c>
      <c r="U68" s="28" t="n"/>
      <c r="V68" s="28" t="n"/>
    </row>
    <row r="69">
      <c r="A69" s="28" t="n"/>
      <c r="B69" s="28" t="n"/>
      <c r="C69" s="28" t="n"/>
      <c r="D69" s="28" t="n"/>
      <c r="E69" s="28" t="n"/>
      <c r="F69" s="28" t="n"/>
      <c r="G69" s="29" t="n"/>
      <c r="H69" s="30" t="n"/>
      <c r="I69" s="28" t="n"/>
      <c r="J69" s="22">
        <f>IF(OR(H69="",I69=""),"",IF(I69="Single Pay",0,H69*IFERROR(INDEX(Lists!$D$2:$D$6,MATCH(I69,Lists!$C$2:$C$6,0)),0)))</f>
        <v/>
      </c>
      <c r="K69" s="31" t="n"/>
      <c r="L69" s="31" t="n"/>
      <c r="M69" s="32" t="n"/>
      <c r="N69" s="25">
        <f>IF(OR(L69="",M69=""),"",EDATE(L69,12*M69))</f>
        <v/>
      </c>
      <c r="O69" s="28" t="n"/>
      <c r="P69" s="32" t="n"/>
      <c r="Q69" s="31" t="n"/>
      <c r="R69" s="26">
        <f>IF(Q69="","",Q69-TODAY())</f>
        <v/>
      </c>
      <c r="S69" s="22">
        <f>IF(A69="","",SUMIFS(Payments!$C$2:$C$301,Payments!$B$2:$B$301,A69))</f>
        <v/>
      </c>
      <c r="T69" s="27">
        <f>IF(A69="","",SUMIFS(Beneficiaries!$E$2:$E$301,Beneficiaries!$A$2:$A$301,A69,Beneficiaries!$D$2:$D$301,"Primary"))</f>
        <v/>
      </c>
      <c r="U69" s="28" t="n"/>
      <c r="V69" s="28" t="n"/>
    </row>
    <row r="70">
      <c r="A70" s="28" t="n"/>
      <c r="B70" s="28" t="n"/>
      <c r="C70" s="28" t="n"/>
      <c r="D70" s="28" t="n"/>
      <c r="E70" s="28" t="n"/>
      <c r="F70" s="28" t="n"/>
      <c r="G70" s="29" t="n"/>
      <c r="H70" s="30" t="n"/>
      <c r="I70" s="28" t="n"/>
      <c r="J70" s="22">
        <f>IF(OR(H70="",I70=""),"",IF(I70="Single Pay",0,H70*IFERROR(INDEX(Lists!$D$2:$D$6,MATCH(I70,Lists!$C$2:$C$6,0)),0)))</f>
        <v/>
      </c>
      <c r="K70" s="31" t="n"/>
      <c r="L70" s="31" t="n"/>
      <c r="M70" s="32" t="n"/>
      <c r="N70" s="25">
        <f>IF(OR(L70="",M70=""),"",EDATE(L70,12*M70))</f>
        <v/>
      </c>
      <c r="O70" s="28" t="n"/>
      <c r="P70" s="32" t="n"/>
      <c r="Q70" s="31" t="n"/>
      <c r="R70" s="26">
        <f>IF(Q70="","",Q70-TODAY())</f>
        <v/>
      </c>
      <c r="S70" s="22">
        <f>IF(A70="","",SUMIFS(Payments!$C$2:$C$301,Payments!$B$2:$B$301,A70))</f>
        <v/>
      </c>
      <c r="T70" s="27">
        <f>IF(A70="","",SUMIFS(Beneficiaries!$E$2:$E$301,Beneficiaries!$A$2:$A$301,A70,Beneficiaries!$D$2:$D$301,"Primary"))</f>
        <v/>
      </c>
      <c r="U70" s="28" t="n"/>
      <c r="V70" s="28" t="n"/>
    </row>
    <row r="71">
      <c r="A71" s="28" t="n"/>
      <c r="B71" s="28" t="n"/>
      <c r="C71" s="28" t="n"/>
      <c r="D71" s="28" t="n"/>
      <c r="E71" s="28" t="n"/>
      <c r="F71" s="28" t="n"/>
      <c r="G71" s="29" t="n"/>
      <c r="H71" s="30" t="n"/>
      <c r="I71" s="28" t="n"/>
      <c r="J71" s="22">
        <f>IF(OR(H71="",I71=""),"",IF(I71="Single Pay",0,H71*IFERROR(INDEX(Lists!$D$2:$D$6,MATCH(I71,Lists!$C$2:$C$6,0)),0)))</f>
        <v/>
      </c>
      <c r="K71" s="31" t="n"/>
      <c r="L71" s="31" t="n"/>
      <c r="M71" s="32" t="n"/>
      <c r="N71" s="25">
        <f>IF(OR(L71="",M71=""),"",EDATE(L71,12*M71))</f>
        <v/>
      </c>
      <c r="O71" s="28" t="n"/>
      <c r="P71" s="32" t="n"/>
      <c r="Q71" s="31" t="n"/>
      <c r="R71" s="26">
        <f>IF(Q71="","",Q71-TODAY())</f>
        <v/>
      </c>
      <c r="S71" s="22">
        <f>IF(A71="","",SUMIFS(Payments!$C$2:$C$301,Payments!$B$2:$B$301,A71))</f>
        <v/>
      </c>
      <c r="T71" s="27">
        <f>IF(A71="","",SUMIFS(Beneficiaries!$E$2:$E$301,Beneficiaries!$A$2:$A$301,A71,Beneficiaries!$D$2:$D$301,"Primary"))</f>
        <v/>
      </c>
      <c r="U71" s="28" t="n"/>
      <c r="V71" s="28" t="n"/>
    </row>
    <row r="72">
      <c r="A72" s="28" t="n"/>
      <c r="B72" s="28" t="n"/>
      <c r="C72" s="28" t="n"/>
      <c r="D72" s="28" t="n"/>
      <c r="E72" s="28" t="n"/>
      <c r="F72" s="28" t="n"/>
      <c r="G72" s="29" t="n"/>
      <c r="H72" s="30" t="n"/>
      <c r="I72" s="28" t="n"/>
      <c r="J72" s="22">
        <f>IF(OR(H72="",I72=""),"",IF(I72="Single Pay",0,H72*IFERROR(INDEX(Lists!$D$2:$D$6,MATCH(I72,Lists!$C$2:$C$6,0)),0)))</f>
        <v/>
      </c>
      <c r="K72" s="31" t="n"/>
      <c r="L72" s="31" t="n"/>
      <c r="M72" s="32" t="n"/>
      <c r="N72" s="25">
        <f>IF(OR(L72="",M72=""),"",EDATE(L72,12*M72))</f>
        <v/>
      </c>
      <c r="O72" s="28" t="n"/>
      <c r="P72" s="32" t="n"/>
      <c r="Q72" s="31" t="n"/>
      <c r="R72" s="26">
        <f>IF(Q72="","",Q72-TODAY())</f>
        <v/>
      </c>
      <c r="S72" s="22">
        <f>IF(A72="","",SUMIFS(Payments!$C$2:$C$301,Payments!$B$2:$B$301,A72))</f>
        <v/>
      </c>
      <c r="T72" s="27">
        <f>IF(A72="","",SUMIFS(Beneficiaries!$E$2:$E$301,Beneficiaries!$A$2:$A$301,A72,Beneficiaries!$D$2:$D$301,"Primary"))</f>
        <v/>
      </c>
      <c r="U72" s="28" t="n"/>
      <c r="V72" s="28" t="n"/>
    </row>
    <row r="73">
      <c r="A73" s="28" t="n"/>
      <c r="B73" s="28" t="n"/>
      <c r="C73" s="28" t="n"/>
      <c r="D73" s="28" t="n"/>
      <c r="E73" s="28" t="n"/>
      <c r="F73" s="28" t="n"/>
      <c r="G73" s="29" t="n"/>
      <c r="H73" s="30" t="n"/>
      <c r="I73" s="28" t="n"/>
      <c r="J73" s="22">
        <f>IF(OR(H73="",I73=""),"",IF(I73="Single Pay",0,H73*IFERROR(INDEX(Lists!$D$2:$D$6,MATCH(I73,Lists!$C$2:$C$6,0)),0)))</f>
        <v/>
      </c>
      <c r="K73" s="31" t="n"/>
      <c r="L73" s="31" t="n"/>
      <c r="M73" s="32" t="n"/>
      <c r="N73" s="25">
        <f>IF(OR(L73="",M73=""),"",EDATE(L73,12*M73))</f>
        <v/>
      </c>
      <c r="O73" s="28" t="n"/>
      <c r="P73" s="32" t="n"/>
      <c r="Q73" s="31" t="n"/>
      <c r="R73" s="26">
        <f>IF(Q73="","",Q73-TODAY())</f>
        <v/>
      </c>
      <c r="S73" s="22">
        <f>IF(A73="","",SUMIFS(Payments!$C$2:$C$301,Payments!$B$2:$B$301,A73))</f>
        <v/>
      </c>
      <c r="T73" s="27">
        <f>IF(A73="","",SUMIFS(Beneficiaries!$E$2:$E$301,Beneficiaries!$A$2:$A$301,A73,Beneficiaries!$D$2:$D$301,"Primary"))</f>
        <v/>
      </c>
      <c r="U73" s="28" t="n"/>
      <c r="V73" s="28" t="n"/>
    </row>
    <row r="74">
      <c r="A74" s="28" t="n"/>
      <c r="B74" s="28" t="n"/>
      <c r="C74" s="28" t="n"/>
      <c r="D74" s="28" t="n"/>
      <c r="E74" s="28" t="n"/>
      <c r="F74" s="28" t="n"/>
      <c r="G74" s="29" t="n"/>
      <c r="H74" s="30" t="n"/>
      <c r="I74" s="28" t="n"/>
      <c r="J74" s="22">
        <f>IF(OR(H74="",I74=""),"",IF(I74="Single Pay",0,H74*IFERROR(INDEX(Lists!$D$2:$D$6,MATCH(I74,Lists!$C$2:$C$6,0)),0)))</f>
        <v/>
      </c>
      <c r="K74" s="31" t="n"/>
      <c r="L74" s="31" t="n"/>
      <c r="M74" s="32" t="n"/>
      <c r="N74" s="25">
        <f>IF(OR(L74="",M74=""),"",EDATE(L74,12*M74))</f>
        <v/>
      </c>
      <c r="O74" s="28" t="n"/>
      <c r="P74" s="32" t="n"/>
      <c r="Q74" s="31" t="n"/>
      <c r="R74" s="26">
        <f>IF(Q74="","",Q74-TODAY())</f>
        <v/>
      </c>
      <c r="S74" s="22">
        <f>IF(A74="","",SUMIFS(Payments!$C$2:$C$301,Payments!$B$2:$B$301,A74))</f>
        <v/>
      </c>
      <c r="T74" s="27">
        <f>IF(A74="","",SUMIFS(Beneficiaries!$E$2:$E$301,Beneficiaries!$A$2:$A$301,A74,Beneficiaries!$D$2:$D$301,"Primary"))</f>
        <v/>
      </c>
      <c r="U74" s="28" t="n"/>
      <c r="V74" s="28" t="n"/>
    </row>
    <row r="75">
      <c r="A75" s="28" t="n"/>
      <c r="B75" s="28" t="n"/>
      <c r="C75" s="28" t="n"/>
      <c r="D75" s="28" t="n"/>
      <c r="E75" s="28" t="n"/>
      <c r="F75" s="28" t="n"/>
      <c r="G75" s="29" t="n"/>
      <c r="H75" s="30" t="n"/>
      <c r="I75" s="28" t="n"/>
      <c r="J75" s="22">
        <f>IF(OR(H75="",I75=""),"",IF(I75="Single Pay",0,H75*IFERROR(INDEX(Lists!$D$2:$D$6,MATCH(I75,Lists!$C$2:$C$6,0)),0)))</f>
        <v/>
      </c>
      <c r="K75" s="31" t="n"/>
      <c r="L75" s="31" t="n"/>
      <c r="M75" s="32" t="n"/>
      <c r="N75" s="25">
        <f>IF(OR(L75="",M75=""),"",EDATE(L75,12*M75))</f>
        <v/>
      </c>
      <c r="O75" s="28" t="n"/>
      <c r="P75" s="32" t="n"/>
      <c r="Q75" s="31" t="n"/>
      <c r="R75" s="26">
        <f>IF(Q75="","",Q75-TODAY())</f>
        <v/>
      </c>
      <c r="S75" s="22">
        <f>IF(A75="","",SUMIFS(Payments!$C$2:$C$301,Payments!$B$2:$B$301,A75))</f>
        <v/>
      </c>
      <c r="T75" s="27">
        <f>IF(A75="","",SUMIFS(Beneficiaries!$E$2:$E$301,Beneficiaries!$A$2:$A$301,A75,Beneficiaries!$D$2:$D$301,"Primary"))</f>
        <v/>
      </c>
      <c r="U75" s="28" t="n"/>
      <c r="V75" s="28" t="n"/>
    </row>
    <row r="76">
      <c r="A76" s="28" t="n"/>
      <c r="B76" s="28" t="n"/>
      <c r="C76" s="28" t="n"/>
      <c r="D76" s="28" t="n"/>
      <c r="E76" s="28" t="n"/>
      <c r="F76" s="28" t="n"/>
      <c r="G76" s="29" t="n"/>
      <c r="H76" s="30" t="n"/>
      <c r="I76" s="28" t="n"/>
      <c r="J76" s="22">
        <f>IF(OR(H76="",I76=""),"",IF(I76="Single Pay",0,H76*IFERROR(INDEX(Lists!$D$2:$D$6,MATCH(I76,Lists!$C$2:$C$6,0)),0)))</f>
        <v/>
      </c>
      <c r="K76" s="31" t="n"/>
      <c r="L76" s="31" t="n"/>
      <c r="M76" s="32" t="n"/>
      <c r="N76" s="25">
        <f>IF(OR(L76="",M76=""),"",EDATE(L76,12*M76))</f>
        <v/>
      </c>
      <c r="O76" s="28" t="n"/>
      <c r="P76" s="32" t="n"/>
      <c r="Q76" s="31" t="n"/>
      <c r="R76" s="26">
        <f>IF(Q76="","",Q76-TODAY())</f>
        <v/>
      </c>
      <c r="S76" s="22">
        <f>IF(A76="","",SUMIFS(Payments!$C$2:$C$301,Payments!$B$2:$B$301,A76))</f>
        <v/>
      </c>
      <c r="T76" s="27">
        <f>IF(A76="","",SUMIFS(Beneficiaries!$E$2:$E$301,Beneficiaries!$A$2:$A$301,A76,Beneficiaries!$D$2:$D$301,"Primary"))</f>
        <v/>
      </c>
      <c r="U76" s="28" t="n"/>
      <c r="V76" s="28" t="n"/>
    </row>
    <row r="77">
      <c r="A77" s="28" t="n"/>
      <c r="B77" s="28" t="n"/>
      <c r="C77" s="28" t="n"/>
      <c r="D77" s="28" t="n"/>
      <c r="E77" s="28" t="n"/>
      <c r="F77" s="28" t="n"/>
      <c r="G77" s="29" t="n"/>
      <c r="H77" s="30" t="n"/>
      <c r="I77" s="28" t="n"/>
      <c r="J77" s="22">
        <f>IF(OR(H77="",I77=""),"",IF(I77="Single Pay",0,H77*IFERROR(INDEX(Lists!$D$2:$D$6,MATCH(I77,Lists!$C$2:$C$6,0)),0)))</f>
        <v/>
      </c>
      <c r="K77" s="31" t="n"/>
      <c r="L77" s="31" t="n"/>
      <c r="M77" s="32" t="n"/>
      <c r="N77" s="25">
        <f>IF(OR(L77="",M77=""),"",EDATE(L77,12*M77))</f>
        <v/>
      </c>
      <c r="O77" s="28" t="n"/>
      <c r="P77" s="32" t="n"/>
      <c r="Q77" s="31" t="n"/>
      <c r="R77" s="26">
        <f>IF(Q77="","",Q77-TODAY())</f>
        <v/>
      </c>
      <c r="S77" s="22">
        <f>IF(A77="","",SUMIFS(Payments!$C$2:$C$301,Payments!$B$2:$B$301,A77))</f>
        <v/>
      </c>
      <c r="T77" s="27">
        <f>IF(A77="","",SUMIFS(Beneficiaries!$E$2:$E$301,Beneficiaries!$A$2:$A$301,A77,Beneficiaries!$D$2:$D$301,"Primary"))</f>
        <v/>
      </c>
      <c r="U77" s="28" t="n"/>
      <c r="V77" s="28" t="n"/>
    </row>
    <row r="78">
      <c r="A78" s="28" t="n"/>
      <c r="B78" s="28" t="n"/>
      <c r="C78" s="28" t="n"/>
      <c r="D78" s="28" t="n"/>
      <c r="E78" s="28" t="n"/>
      <c r="F78" s="28" t="n"/>
      <c r="G78" s="29" t="n"/>
      <c r="H78" s="30" t="n"/>
      <c r="I78" s="28" t="n"/>
      <c r="J78" s="22">
        <f>IF(OR(H78="",I78=""),"",IF(I78="Single Pay",0,H78*IFERROR(INDEX(Lists!$D$2:$D$6,MATCH(I78,Lists!$C$2:$C$6,0)),0)))</f>
        <v/>
      </c>
      <c r="K78" s="31" t="n"/>
      <c r="L78" s="31" t="n"/>
      <c r="M78" s="32" t="n"/>
      <c r="N78" s="25">
        <f>IF(OR(L78="",M78=""),"",EDATE(L78,12*M78))</f>
        <v/>
      </c>
      <c r="O78" s="28" t="n"/>
      <c r="P78" s="32" t="n"/>
      <c r="Q78" s="31" t="n"/>
      <c r="R78" s="26">
        <f>IF(Q78="","",Q78-TODAY())</f>
        <v/>
      </c>
      <c r="S78" s="22">
        <f>IF(A78="","",SUMIFS(Payments!$C$2:$C$301,Payments!$B$2:$B$301,A78))</f>
        <v/>
      </c>
      <c r="T78" s="27">
        <f>IF(A78="","",SUMIFS(Beneficiaries!$E$2:$E$301,Beneficiaries!$A$2:$A$301,A78,Beneficiaries!$D$2:$D$301,"Primary"))</f>
        <v/>
      </c>
      <c r="U78" s="28" t="n"/>
      <c r="V78" s="28" t="n"/>
    </row>
    <row r="79">
      <c r="A79" s="28" t="n"/>
      <c r="B79" s="28" t="n"/>
      <c r="C79" s="28" t="n"/>
      <c r="D79" s="28" t="n"/>
      <c r="E79" s="28" t="n"/>
      <c r="F79" s="28" t="n"/>
      <c r="G79" s="29" t="n"/>
      <c r="H79" s="30" t="n"/>
      <c r="I79" s="28" t="n"/>
      <c r="J79" s="22">
        <f>IF(OR(H79="",I79=""),"",IF(I79="Single Pay",0,H79*IFERROR(INDEX(Lists!$D$2:$D$6,MATCH(I79,Lists!$C$2:$C$6,0)),0)))</f>
        <v/>
      </c>
      <c r="K79" s="31" t="n"/>
      <c r="L79" s="31" t="n"/>
      <c r="M79" s="32" t="n"/>
      <c r="N79" s="25">
        <f>IF(OR(L79="",M79=""),"",EDATE(L79,12*M79))</f>
        <v/>
      </c>
      <c r="O79" s="28" t="n"/>
      <c r="P79" s="32" t="n"/>
      <c r="Q79" s="31" t="n"/>
      <c r="R79" s="26">
        <f>IF(Q79="","",Q79-TODAY())</f>
        <v/>
      </c>
      <c r="S79" s="22">
        <f>IF(A79="","",SUMIFS(Payments!$C$2:$C$301,Payments!$B$2:$B$301,A79))</f>
        <v/>
      </c>
      <c r="T79" s="27">
        <f>IF(A79="","",SUMIFS(Beneficiaries!$E$2:$E$301,Beneficiaries!$A$2:$A$301,A79,Beneficiaries!$D$2:$D$301,"Primary"))</f>
        <v/>
      </c>
      <c r="U79" s="28" t="n"/>
      <c r="V79" s="28" t="n"/>
    </row>
    <row r="80">
      <c r="A80" s="28" t="n"/>
      <c r="B80" s="28" t="n"/>
      <c r="C80" s="28" t="n"/>
      <c r="D80" s="28" t="n"/>
      <c r="E80" s="28" t="n"/>
      <c r="F80" s="28" t="n"/>
      <c r="G80" s="29" t="n"/>
      <c r="H80" s="30" t="n"/>
      <c r="I80" s="28" t="n"/>
      <c r="J80" s="22">
        <f>IF(OR(H80="",I80=""),"",IF(I80="Single Pay",0,H80*IFERROR(INDEX(Lists!$D$2:$D$6,MATCH(I80,Lists!$C$2:$C$6,0)),0)))</f>
        <v/>
      </c>
      <c r="K80" s="31" t="n"/>
      <c r="L80" s="31" t="n"/>
      <c r="M80" s="32" t="n"/>
      <c r="N80" s="25">
        <f>IF(OR(L80="",M80=""),"",EDATE(L80,12*M80))</f>
        <v/>
      </c>
      <c r="O80" s="28" t="n"/>
      <c r="P80" s="32" t="n"/>
      <c r="Q80" s="31" t="n"/>
      <c r="R80" s="26">
        <f>IF(Q80="","",Q80-TODAY())</f>
        <v/>
      </c>
      <c r="S80" s="22">
        <f>IF(A80="","",SUMIFS(Payments!$C$2:$C$301,Payments!$B$2:$B$301,A80))</f>
        <v/>
      </c>
      <c r="T80" s="27">
        <f>IF(A80="","",SUMIFS(Beneficiaries!$E$2:$E$301,Beneficiaries!$A$2:$A$301,A80,Beneficiaries!$D$2:$D$301,"Primary"))</f>
        <v/>
      </c>
      <c r="U80" s="28" t="n"/>
      <c r="V80" s="28" t="n"/>
    </row>
    <row r="81">
      <c r="A81" s="28" t="n"/>
      <c r="B81" s="28" t="n"/>
      <c r="C81" s="28" t="n"/>
      <c r="D81" s="28" t="n"/>
      <c r="E81" s="28" t="n"/>
      <c r="F81" s="28" t="n"/>
      <c r="G81" s="29" t="n"/>
      <c r="H81" s="30" t="n"/>
      <c r="I81" s="28" t="n"/>
      <c r="J81" s="22">
        <f>IF(OR(H81="",I81=""),"",IF(I81="Single Pay",0,H81*IFERROR(INDEX(Lists!$D$2:$D$6,MATCH(I81,Lists!$C$2:$C$6,0)),0)))</f>
        <v/>
      </c>
      <c r="K81" s="31" t="n"/>
      <c r="L81" s="31" t="n"/>
      <c r="M81" s="32" t="n"/>
      <c r="N81" s="25">
        <f>IF(OR(L81="",M81=""),"",EDATE(L81,12*M81))</f>
        <v/>
      </c>
      <c r="O81" s="28" t="n"/>
      <c r="P81" s="32" t="n"/>
      <c r="Q81" s="31" t="n"/>
      <c r="R81" s="26">
        <f>IF(Q81="","",Q81-TODAY())</f>
        <v/>
      </c>
      <c r="S81" s="22">
        <f>IF(A81="","",SUMIFS(Payments!$C$2:$C$301,Payments!$B$2:$B$301,A81))</f>
        <v/>
      </c>
      <c r="T81" s="27">
        <f>IF(A81="","",SUMIFS(Beneficiaries!$E$2:$E$301,Beneficiaries!$A$2:$A$301,A81,Beneficiaries!$D$2:$D$301,"Primary"))</f>
        <v/>
      </c>
      <c r="U81" s="28" t="n"/>
      <c r="V81" s="28" t="n"/>
    </row>
    <row r="82">
      <c r="A82" s="28" t="n"/>
      <c r="B82" s="28" t="n"/>
      <c r="C82" s="28" t="n"/>
      <c r="D82" s="28" t="n"/>
      <c r="E82" s="28" t="n"/>
      <c r="F82" s="28" t="n"/>
      <c r="G82" s="29" t="n"/>
      <c r="H82" s="30" t="n"/>
      <c r="I82" s="28" t="n"/>
      <c r="J82" s="22">
        <f>IF(OR(H82="",I82=""),"",IF(I82="Single Pay",0,H82*IFERROR(INDEX(Lists!$D$2:$D$6,MATCH(I82,Lists!$C$2:$C$6,0)),0)))</f>
        <v/>
      </c>
      <c r="K82" s="31" t="n"/>
      <c r="L82" s="31" t="n"/>
      <c r="M82" s="32" t="n"/>
      <c r="N82" s="25">
        <f>IF(OR(L82="",M82=""),"",EDATE(L82,12*M82))</f>
        <v/>
      </c>
      <c r="O82" s="28" t="n"/>
      <c r="P82" s="32" t="n"/>
      <c r="Q82" s="31" t="n"/>
      <c r="R82" s="26">
        <f>IF(Q82="","",Q82-TODAY())</f>
        <v/>
      </c>
      <c r="S82" s="22">
        <f>IF(A82="","",SUMIFS(Payments!$C$2:$C$301,Payments!$B$2:$B$301,A82))</f>
        <v/>
      </c>
      <c r="T82" s="27">
        <f>IF(A82="","",SUMIFS(Beneficiaries!$E$2:$E$301,Beneficiaries!$A$2:$A$301,A82,Beneficiaries!$D$2:$D$301,"Primary"))</f>
        <v/>
      </c>
      <c r="U82" s="28" t="n"/>
      <c r="V82" s="28" t="n"/>
    </row>
    <row r="83">
      <c r="A83" s="28" t="n"/>
      <c r="B83" s="28" t="n"/>
      <c r="C83" s="28" t="n"/>
      <c r="D83" s="28" t="n"/>
      <c r="E83" s="28" t="n"/>
      <c r="F83" s="28" t="n"/>
      <c r="G83" s="29" t="n"/>
      <c r="H83" s="30" t="n"/>
      <c r="I83" s="28" t="n"/>
      <c r="J83" s="22">
        <f>IF(OR(H83="",I83=""),"",IF(I83="Single Pay",0,H83*IFERROR(INDEX(Lists!$D$2:$D$6,MATCH(I83,Lists!$C$2:$C$6,0)),0)))</f>
        <v/>
      </c>
      <c r="K83" s="31" t="n"/>
      <c r="L83" s="31" t="n"/>
      <c r="M83" s="32" t="n"/>
      <c r="N83" s="25">
        <f>IF(OR(L83="",M83=""),"",EDATE(L83,12*M83))</f>
        <v/>
      </c>
      <c r="O83" s="28" t="n"/>
      <c r="P83" s="32" t="n"/>
      <c r="Q83" s="31" t="n"/>
      <c r="R83" s="26">
        <f>IF(Q83="","",Q83-TODAY())</f>
        <v/>
      </c>
      <c r="S83" s="22">
        <f>IF(A83="","",SUMIFS(Payments!$C$2:$C$301,Payments!$B$2:$B$301,A83))</f>
        <v/>
      </c>
      <c r="T83" s="27">
        <f>IF(A83="","",SUMIFS(Beneficiaries!$E$2:$E$301,Beneficiaries!$A$2:$A$301,A83,Beneficiaries!$D$2:$D$301,"Primary"))</f>
        <v/>
      </c>
      <c r="U83" s="28" t="n"/>
      <c r="V83" s="28" t="n"/>
    </row>
    <row r="84">
      <c r="A84" s="28" t="n"/>
      <c r="B84" s="28" t="n"/>
      <c r="C84" s="28" t="n"/>
      <c r="D84" s="28" t="n"/>
      <c r="E84" s="28" t="n"/>
      <c r="F84" s="28" t="n"/>
      <c r="G84" s="29" t="n"/>
      <c r="H84" s="30" t="n"/>
      <c r="I84" s="28" t="n"/>
      <c r="J84" s="22">
        <f>IF(OR(H84="",I84=""),"",IF(I84="Single Pay",0,H84*IFERROR(INDEX(Lists!$D$2:$D$6,MATCH(I84,Lists!$C$2:$C$6,0)),0)))</f>
        <v/>
      </c>
      <c r="K84" s="31" t="n"/>
      <c r="L84" s="31" t="n"/>
      <c r="M84" s="32" t="n"/>
      <c r="N84" s="25">
        <f>IF(OR(L84="",M84=""),"",EDATE(L84,12*M84))</f>
        <v/>
      </c>
      <c r="O84" s="28" t="n"/>
      <c r="P84" s="32" t="n"/>
      <c r="Q84" s="31" t="n"/>
      <c r="R84" s="26">
        <f>IF(Q84="","",Q84-TODAY())</f>
        <v/>
      </c>
      <c r="S84" s="22">
        <f>IF(A84="","",SUMIFS(Payments!$C$2:$C$301,Payments!$B$2:$B$301,A84))</f>
        <v/>
      </c>
      <c r="T84" s="27">
        <f>IF(A84="","",SUMIFS(Beneficiaries!$E$2:$E$301,Beneficiaries!$A$2:$A$301,A84,Beneficiaries!$D$2:$D$301,"Primary"))</f>
        <v/>
      </c>
      <c r="U84" s="28" t="n"/>
      <c r="V84" s="28" t="n"/>
    </row>
    <row r="85">
      <c r="A85" s="28" t="n"/>
      <c r="B85" s="28" t="n"/>
      <c r="C85" s="28" t="n"/>
      <c r="D85" s="28" t="n"/>
      <c r="E85" s="28" t="n"/>
      <c r="F85" s="28" t="n"/>
      <c r="G85" s="29" t="n"/>
      <c r="H85" s="30" t="n"/>
      <c r="I85" s="28" t="n"/>
      <c r="J85" s="22">
        <f>IF(OR(H85="",I85=""),"",IF(I85="Single Pay",0,H85*IFERROR(INDEX(Lists!$D$2:$D$6,MATCH(I85,Lists!$C$2:$C$6,0)),0)))</f>
        <v/>
      </c>
      <c r="K85" s="31" t="n"/>
      <c r="L85" s="31" t="n"/>
      <c r="M85" s="32" t="n"/>
      <c r="N85" s="25">
        <f>IF(OR(L85="",M85=""),"",EDATE(L85,12*M85))</f>
        <v/>
      </c>
      <c r="O85" s="28" t="n"/>
      <c r="P85" s="32" t="n"/>
      <c r="Q85" s="31" t="n"/>
      <c r="R85" s="26">
        <f>IF(Q85="","",Q85-TODAY())</f>
        <v/>
      </c>
      <c r="S85" s="22">
        <f>IF(A85="","",SUMIFS(Payments!$C$2:$C$301,Payments!$B$2:$B$301,A85))</f>
        <v/>
      </c>
      <c r="T85" s="27">
        <f>IF(A85="","",SUMIFS(Beneficiaries!$E$2:$E$301,Beneficiaries!$A$2:$A$301,A85,Beneficiaries!$D$2:$D$301,"Primary"))</f>
        <v/>
      </c>
      <c r="U85" s="28" t="n"/>
      <c r="V85" s="28" t="n"/>
    </row>
    <row r="86">
      <c r="A86" s="28" t="n"/>
      <c r="B86" s="28" t="n"/>
      <c r="C86" s="28" t="n"/>
      <c r="D86" s="28" t="n"/>
      <c r="E86" s="28" t="n"/>
      <c r="F86" s="28" t="n"/>
      <c r="G86" s="29" t="n"/>
      <c r="H86" s="30" t="n"/>
      <c r="I86" s="28" t="n"/>
      <c r="J86" s="22">
        <f>IF(OR(H86="",I86=""),"",IF(I86="Single Pay",0,H86*IFERROR(INDEX(Lists!$D$2:$D$6,MATCH(I86,Lists!$C$2:$C$6,0)),0)))</f>
        <v/>
      </c>
      <c r="K86" s="31" t="n"/>
      <c r="L86" s="31" t="n"/>
      <c r="M86" s="32" t="n"/>
      <c r="N86" s="25">
        <f>IF(OR(L86="",M86=""),"",EDATE(L86,12*M86))</f>
        <v/>
      </c>
      <c r="O86" s="28" t="n"/>
      <c r="P86" s="32" t="n"/>
      <c r="Q86" s="31" t="n"/>
      <c r="R86" s="26">
        <f>IF(Q86="","",Q86-TODAY())</f>
        <v/>
      </c>
      <c r="S86" s="22">
        <f>IF(A86="","",SUMIFS(Payments!$C$2:$C$301,Payments!$B$2:$B$301,A86))</f>
        <v/>
      </c>
      <c r="T86" s="27">
        <f>IF(A86="","",SUMIFS(Beneficiaries!$E$2:$E$301,Beneficiaries!$A$2:$A$301,A86,Beneficiaries!$D$2:$D$301,"Primary"))</f>
        <v/>
      </c>
      <c r="U86" s="28" t="n"/>
      <c r="V86" s="28" t="n"/>
    </row>
    <row r="87">
      <c r="A87" s="28" t="n"/>
      <c r="B87" s="28" t="n"/>
      <c r="C87" s="28" t="n"/>
      <c r="D87" s="28" t="n"/>
      <c r="E87" s="28" t="n"/>
      <c r="F87" s="28" t="n"/>
      <c r="G87" s="29" t="n"/>
      <c r="H87" s="30" t="n"/>
      <c r="I87" s="28" t="n"/>
      <c r="J87" s="22">
        <f>IF(OR(H87="",I87=""),"",IF(I87="Single Pay",0,H87*IFERROR(INDEX(Lists!$D$2:$D$6,MATCH(I87,Lists!$C$2:$C$6,0)),0)))</f>
        <v/>
      </c>
      <c r="K87" s="31" t="n"/>
      <c r="L87" s="31" t="n"/>
      <c r="M87" s="32" t="n"/>
      <c r="N87" s="25">
        <f>IF(OR(L87="",M87=""),"",EDATE(L87,12*M87))</f>
        <v/>
      </c>
      <c r="O87" s="28" t="n"/>
      <c r="P87" s="32" t="n"/>
      <c r="Q87" s="31" t="n"/>
      <c r="R87" s="26">
        <f>IF(Q87="","",Q87-TODAY())</f>
        <v/>
      </c>
      <c r="S87" s="22">
        <f>IF(A87="","",SUMIFS(Payments!$C$2:$C$301,Payments!$B$2:$B$301,A87))</f>
        <v/>
      </c>
      <c r="T87" s="27">
        <f>IF(A87="","",SUMIFS(Beneficiaries!$E$2:$E$301,Beneficiaries!$A$2:$A$301,A87,Beneficiaries!$D$2:$D$301,"Primary"))</f>
        <v/>
      </c>
      <c r="U87" s="28" t="n"/>
      <c r="V87" s="28" t="n"/>
    </row>
    <row r="88">
      <c r="A88" s="28" t="n"/>
      <c r="B88" s="28" t="n"/>
      <c r="C88" s="28" t="n"/>
      <c r="D88" s="28" t="n"/>
      <c r="E88" s="28" t="n"/>
      <c r="F88" s="28" t="n"/>
      <c r="G88" s="29" t="n"/>
      <c r="H88" s="30" t="n"/>
      <c r="I88" s="28" t="n"/>
      <c r="J88" s="22">
        <f>IF(OR(H88="",I88=""),"",IF(I88="Single Pay",0,H88*IFERROR(INDEX(Lists!$D$2:$D$6,MATCH(I88,Lists!$C$2:$C$6,0)),0)))</f>
        <v/>
      </c>
      <c r="K88" s="31" t="n"/>
      <c r="L88" s="31" t="n"/>
      <c r="M88" s="32" t="n"/>
      <c r="N88" s="25">
        <f>IF(OR(L88="",M88=""),"",EDATE(L88,12*M88))</f>
        <v/>
      </c>
      <c r="O88" s="28" t="n"/>
      <c r="P88" s="32" t="n"/>
      <c r="Q88" s="31" t="n"/>
      <c r="R88" s="26">
        <f>IF(Q88="","",Q88-TODAY())</f>
        <v/>
      </c>
      <c r="S88" s="22">
        <f>IF(A88="","",SUMIFS(Payments!$C$2:$C$301,Payments!$B$2:$B$301,A88))</f>
        <v/>
      </c>
      <c r="T88" s="27">
        <f>IF(A88="","",SUMIFS(Beneficiaries!$E$2:$E$301,Beneficiaries!$A$2:$A$301,A88,Beneficiaries!$D$2:$D$301,"Primary"))</f>
        <v/>
      </c>
      <c r="U88" s="28" t="n"/>
      <c r="V88" s="28" t="n"/>
    </row>
    <row r="89">
      <c r="A89" s="28" t="n"/>
      <c r="B89" s="28" t="n"/>
      <c r="C89" s="28" t="n"/>
      <c r="D89" s="28" t="n"/>
      <c r="E89" s="28" t="n"/>
      <c r="F89" s="28" t="n"/>
      <c r="G89" s="29" t="n"/>
      <c r="H89" s="30" t="n"/>
      <c r="I89" s="28" t="n"/>
      <c r="J89" s="22">
        <f>IF(OR(H89="",I89=""),"",IF(I89="Single Pay",0,H89*IFERROR(INDEX(Lists!$D$2:$D$6,MATCH(I89,Lists!$C$2:$C$6,0)),0)))</f>
        <v/>
      </c>
      <c r="K89" s="31" t="n"/>
      <c r="L89" s="31" t="n"/>
      <c r="M89" s="32" t="n"/>
      <c r="N89" s="25">
        <f>IF(OR(L89="",M89=""),"",EDATE(L89,12*M89))</f>
        <v/>
      </c>
      <c r="O89" s="28" t="n"/>
      <c r="P89" s="32" t="n"/>
      <c r="Q89" s="31" t="n"/>
      <c r="R89" s="26">
        <f>IF(Q89="","",Q89-TODAY())</f>
        <v/>
      </c>
      <c r="S89" s="22">
        <f>IF(A89="","",SUMIFS(Payments!$C$2:$C$301,Payments!$B$2:$B$301,A89))</f>
        <v/>
      </c>
      <c r="T89" s="27">
        <f>IF(A89="","",SUMIFS(Beneficiaries!$E$2:$E$301,Beneficiaries!$A$2:$A$301,A89,Beneficiaries!$D$2:$D$301,"Primary"))</f>
        <v/>
      </c>
      <c r="U89" s="28" t="n"/>
      <c r="V89" s="28" t="n"/>
    </row>
    <row r="90">
      <c r="A90" s="28" t="n"/>
      <c r="B90" s="28" t="n"/>
      <c r="C90" s="28" t="n"/>
      <c r="D90" s="28" t="n"/>
      <c r="E90" s="28" t="n"/>
      <c r="F90" s="28" t="n"/>
      <c r="G90" s="29" t="n"/>
      <c r="H90" s="30" t="n"/>
      <c r="I90" s="28" t="n"/>
      <c r="J90" s="22">
        <f>IF(OR(H90="",I90=""),"",IF(I90="Single Pay",0,H90*IFERROR(INDEX(Lists!$D$2:$D$6,MATCH(I90,Lists!$C$2:$C$6,0)),0)))</f>
        <v/>
      </c>
      <c r="K90" s="31" t="n"/>
      <c r="L90" s="31" t="n"/>
      <c r="M90" s="32" t="n"/>
      <c r="N90" s="25">
        <f>IF(OR(L90="",M90=""),"",EDATE(L90,12*M90))</f>
        <v/>
      </c>
      <c r="O90" s="28" t="n"/>
      <c r="P90" s="32" t="n"/>
      <c r="Q90" s="31" t="n"/>
      <c r="R90" s="26">
        <f>IF(Q90="","",Q90-TODAY())</f>
        <v/>
      </c>
      <c r="S90" s="22">
        <f>IF(A90="","",SUMIFS(Payments!$C$2:$C$301,Payments!$B$2:$B$301,A90))</f>
        <v/>
      </c>
      <c r="T90" s="27">
        <f>IF(A90="","",SUMIFS(Beneficiaries!$E$2:$E$301,Beneficiaries!$A$2:$A$301,A90,Beneficiaries!$D$2:$D$301,"Primary"))</f>
        <v/>
      </c>
      <c r="U90" s="28" t="n"/>
      <c r="V90" s="28" t="n"/>
    </row>
    <row r="91">
      <c r="A91" s="28" t="n"/>
      <c r="B91" s="28" t="n"/>
      <c r="C91" s="28" t="n"/>
      <c r="D91" s="28" t="n"/>
      <c r="E91" s="28" t="n"/>
      <c r="F91" s="28" t="n"/>
      <c r="G91" s="29" t="n"/>
      <c r="H91" s="30" t="n"/>
      <c r="I91" s="28" t="n"/>
      <c r="J91" s="22">
        <f>IF(OR(H91="",I91=""),"",IF(I91="Single Pay",0,H91*IFERROR(INDEX(Lists!$D$2:$D$6,MATCH(I91,Lists!$C$2:$C$6,0)),0)))</f>
        <v/>
      </c>
      <c r="K91" s="31" t="n"/>
      <c r="L91" s="31" t="n"/>
      <c r="M91" s="32" t="n"/>
      <c r="N91" s="25">
        <f>IF(OR(L91="",M91=""),"",EDATE(L91,12*M91))</f>
        <v/>
      </c>
      <c r="O91" s="28" t="n"/>
      <c r="P91" s="32" t="n"/>
      <c r="Q91" s="31" t="n"/>
      <c r="R91" s="26">
        <f>IF(Q91="","",Q91-TODAY())</f>
        <v/>
      </c>
      <c r="S91" s="22">
        <f>IF(A91="","",SUMIFS(Payments!$C$2:$C$301,Payments!$B$2:$B$301,A91))</f>
        <v/>
      </c>
      <c r="T91" s="27">
        <f>IF(A91="","",SUMIFS(Beneficiaries!$E$2:$E$301,Beneficiaries!$A$2:$A$301,A91,Beneficiaries!$D$2:$D$301,"Primary"))</f>
        <v/>
      </c>
      <c r="U91" s="28" t="n"/>
      <c r="V91" s="28" t="n"/>
    </row>
    <row r="92">
      <c r="A92" s="28" t="n"/>
      <c r="B92" s="28" t="n"/>
      <c r="C92" s="28" t="n"/>
      <c r="D92" s="28" t="n"/>
      <c r="E92" s="28" t="n"/>
      <c r="F92" s="28" t="n"/>
      <c r="G92" s="29" t="n"/>
      <c r="H92" s="30" t="n"/>
      <c r="I92" s="28" t="n"/>
      <c r="J92" s="22">
        <f>IF(OR(H92="",I92=""),"",IF(I92="Single Pay",0,H92*IFERROR(INDEX(Lists!$D$2:$D$6,MATCH(I92,Lists!$C$2:$C$6,0)),0)))</f>
        <v/>
      </c>
      <c r="K92" s="31" t="n"/>
      <c r="L92" s="31" t="n"/>
      <c r="M92" s="32" t="n"/>
      <c r="N92" s="25">
        <f>IF(OR(L92="",M92=""),"",EDATE(L92,12*M92))</f>
        <v/>
      </c>
      <c r="O92" s="28" t="n"/>
      <c r="P92" s="32" t="n"/>
      <c r="Q92" s="31" t="n"/>
      <c r="R92" s="26">
        <f>IF(Q92="","",Q92-TODAY())</f>
        <v/>
      </c>
      <c r="S92" s="22">
        <f>IF(A92="","",SUMIFS(Payments!$C$2:$C$301,Payments!$B$2:$B$301,A92))</f>
        <v/>
      </c>
      <c r="T92" s="27">
        <f>IF(A92="","",SUMIFS(Beneficiaries!$E$2:$E$301,Beneficiaries!$A$2:$A$301,A92,Beneficiaries!$D$2:$D$301,"Primary"))</f>
        <v/>
      </c>
      <c r="U92" s="28" t="n"/>
      <c r="V92" s="28" t="n"/>
    </row>
    <row r="93">
      <c r="A93" s="28" t="n"/>
      <c r="B93" s="28" t="n"/>
      <c r="C93" s="28" t="n"/>
      <c r="D93" s="28" t="n"/>
      <c r="E93" s="28" t="n"/>
      <c r="F93" s="28" t="n"/>
      <c r="G93" s="29" t="n"/>
      <c r="H93" s="30" t="n"/>
      <c r="I93" s="28" t="n"/>
      <c r="J93" s="22">
        <f>IF(OR(H93="",I93=""),"",IF(I93="Single Pay",0,H93*IFERROR(INDEX(Lists!$D$2:$D$6,MATCH(I93,Lists!$C$2:$C$6,0)),0)))</f>
        <v/>
      </c>
      <c r="K93" s="31" t="n"/>
      <c r="L93" s="31" t="n"/>
      <c r="M93" s="32" t="n"/>
      <c r="N93" s="25">
        <f>IF(OR(L93="",M93=""),"",EDATE(L93,12*M93))</f>
        <v/>
      </c>
      <c r="O93" s="28" t="n"/>
      <c r="P93" s="32" t="n"/>
      <c r="Q93" s="31" t="n"/>
      <c r="R93" s="26">
        <f>IF(Q93="","",Q93-TODAY())</f>
        <v/>
      </c>
      <c r="S93" s="22">
        <f>IF(A93="","",SUMIFS(Payments!$C$2:$C$301,Payments!$B$2:$B$301,A93))</f>
        <v/>
      </c>
      <c r="T93" s="27">
        <f>IF(A93="","",SUMIFS(Beneficiaries!$E$2:$E$301,Beneficiaries!$A$2:$A$301,A93,Beneficiaries!$D$2:$D$301,"Primary"))</f>
        <v/>
      </c>
      <c r="U93" s="28" t="n"/>
      <c r="V93" s="28" t="n"/>
    </row>
    <row r="94">
      <c r="A94" s="28" t="n"/>
      <c r="B94" s="28" t="n"/>
      <c r="C94" s="28" t="n"/>
      <c r="D94" s="28" t="n"/>
      <c r="E94" s="28" t="n"/>
      <c r="F94" s="28" t="n"/>
      <c r="G94" s="29" t="n"/>
      <c r="H94" s="30" t="n"/>
      <c r="I94" s="28" t="n"/>
      <c r="J94" s="22">
        <f>IF(OR(H94="",I94=""),"",IF(I94="Single Pay",0,H94*IFERROR(INDEX(Lists!$D$2:$D$6,MATCH(I94,Lists!$C$2:$C$6,0)),0)))</f>
        <v/>
      </c>
      <c r="K94" s="31" t="n"/>
      <c r="L94" s="31" t="n"/>
      <c r="M94" s="32" t="n"/>
      <c r="N94" s="25">
        <f>IF(OR(L94="",M94=""),"",EDATE(L94,12*M94))</f>
        <v/>
      </c>
      <c r="O94" s="28" t="n"/>
      <c r="P94" s="32" t="n"/>
      <c r="Q94" s="31" t="n"/>
      <c r="R94" s="26">
        <f>IF(Q94="","",Q94-TODAY())</f>
        <v/>
      </c>
      <c r="S94" s="22">
        <f>IF(A94="","",SUMIFS(Payments!$C$2:$C$301,Payments!$B$2:$B$301,A94))</f>
        <v/>
      </c>
      <c r="T94" s="27">
        <f>IF(A94="","",SUMIFS(Beneficiaries!$E$2:$E$301,Beneficiaries!$A$2:$A$301,A94,Beneficiaries!$D$2:$D$301,"Primary"))</f>
        <v/>
      </c>
      <c r="U94" s="28" t="n"/>
      <c r="V94" s="28" t="n"/>
    </row>
    <row r="95">
      <c r="A95" s="28" t="n"/>
      <c r="B95" s="28" t="n"/>
      <c r="C95" s="28" t="n"/>
      <c r="D95" s="28" t="n"/>
      <c r="E95" s="28" t="n"/>
      <c r="F95" s="28" t="n"/>
      <c r="G95" s="29" t="n"/>
      <c r="H95" s="30" t="n"/>
      <c r="I95" s="28" t="n"/>
      <c r="J95" s="22">
        <f>IF(OR(H95="",I95=""),"",IF(I95="Single Pay",0,H95*IFERROR(INDEX(Lists!$D$2:$D$6,MATCH(I95,Lists!$C$2:$C$6,0)),0)))</f>
        <v/>
      </c>
      <c r="K95" s="31" t="n"/>
      <c r="L95" s="31" t="n"/>
      <c r="M95" s="32" t="n"/>
      <c r="N95" s="25">
        <f>IF(OR(L95="",M95=""),"",EDATE(L95,12*M95))</f>
        <v/>
      </c>
      <c r="O95" s="28" t="n"/>
      <c r="P95" s="32" t="n"/>
      <c r="Q95" s="31" t="n"/>
      <c r="R95" s="26">
        <f>IF(Q95="","",Q95-TODAY())</f>
        <v/>
      </c>
      <c r="S95" s="22">
        <f>IF(A95="","",SUMIFS(Payments!$C$2:$C$301,Payments!$B$2:$B$301,A95))</f>
        <v/>
      </c>
      <c r="T95" s="27">
        <f>IF(A95="","",SUMIFS(Beneficiaries!$E$2:$E$301,Beneficiaries!$A$2:$A$301,A95,Beneficiaries!$D$2:$D$301,"Primary"))</f>
        <v/>
      </c>
      <c r="U95" s="28" t="n"/>
      <c r="V95" s="28" t="n"/>
    </row>
    <row r="96">
      <c r="A96" s="28" t="n"/>
      <c r="B96" s="28" t="n"/>
      <c r="C96" s="28" t="n"/>
      <c r="D96" s="28" t="n"/>
      <c r="E96" s="28" t="n"/>
      <c r="F96" s="28" t="n"/>
      <c r="G96" s="29" t="n"/>
      <c r="H96" s="30" t="n"/>
      <c r="I96" s="28" t="n"/>
      <c r="J96" s="22">
        <f>IF(OR(H96="",I96=""),"",IF(I96="Single Pay",0,H96*IFERROR(INDEX(Lists!$D$2:$D$6,MATCH(I96,Lists!$C$2:$C$6,0)),0)))</f>
        <v/>
      </c>
      <c r="K96" s="31" t="n"/>
      <c r="L96" s="31" t="n"/>
      <c r="M96" s="32" t="n"/>
      <c r="N96" s="25">
        <f>IF(OR(L96="",M96=""),"",EDATE(L96,12*M96))</f>
        <v/>
      </c>
      <c r="O96" s="28" t="n"/>
      <c r="P96" s="32" t="n"/>
      <c r="Q96" s="31" t="n"/>
      <c r="R96" s="26">
        <f>IF(Q96="","",Q96-TODAY())</f>
        <v/>
      </c>
      <c r="S96" s="22">
        <f>IF(A96="","",SUMIFS(Payments!$C$2:$C$301,Payments!$B$2:$B$301,A96))</f>
        <v/>
      </c>
      <c r="T96" s="27">
        <f>IF(A96="","",SUMIFS(Beneficiaries!$E$2:$E$301,Beneficiaries!$A$2:$A$301,A96,Beneficiaries!$D$2:$D$301,"Primary"))</f>
        <v/>
      </c>
      <c r="U96" s="28" t="n"/>
      <c r="V96" s="28" t="n"/>
    </row>
    <row r="97">
      <c r="A97" s="28" t="n"/>
      <c r="B97" s="28" t="n"/>
      <c r="C97" s="28" t="n"/>
      <c r="D97" s="28" t="n"/>
      <c r="E97" s="28" t="n"/>
      <c r="F97" s="28" t="n"/>
      <c r="G97" s="29" t="n"/>
      <c r="H97" s="30" t="n"/>
      <c r="I97" s="28" t="n"/>
      <c r="J97" s="22">
        <f>IF(OR(H97="",I97=""),"",IF(I97="Single Pay",0,H97*IFERROR(INDEX(Lists!$D$2:$D$6,MATCH(I97,Lists!$C$2:$C$6,0)),0)))</f>
        <v/>
      </c>
      <c r="K97" s="31" t="n"/>
      <c r="L97" s="31" t="n"/>
      <c r="M97" s="32" t="n"/>
      <c r="N97" s="25">
        <f>IF(OR(L97="",M97=""),"",EDATE(L97,12*M97))</f>
        <v/>
      </c>
      <c r="O97" s="28" t="n"/>
      <c r="P97" s="32" t="n"/>
      <c r="Q97" s="31" t="n"/>
      <c r="R97" s="26">
        <f>IF(Q97="","",Q97-TODAY())</f>
        <v/>
      </c>
      <c r="S97" s="22">
        <f>IF(A97="","",SUMIFS(Payments!$C$2:$C$301,Payments!$B$2:$B$301,A97))</f>
        <v/>
      </c>
      <c r="T97" s="27">
        <f>IF(A97="","",SUMIFS(Beneficiaries!$E$2:$E$301,Beneficiaries!$A$2:$A$301,A97,Beneficiaries!$D$2:$D$301,"Primary"))</f>
        <v/>
      </c>
      <c r="U97" s="28" t="n"/>
      <c r="V97" s="28" t="n"/>
    </row>
    <row r="98">
      <c r="A98" s="28" t="n"/>
      <c r="B98" s="28" t="n"/>
      <c r="C98" s="28" t="n"/>
      <c r="D98" s="28" t="n"/>
      <c r="E98" s="28" t="n"/>
      <c r="F98" s="28" t="n"/>
      <c r="G98" s="29" t="n"/>
      <c r="H98" s="30" t="n"/>
      <c r="I98" s="28" t="n"/>
      <c r="J98" s="22">
        <f>IF(OR(H98="",I98=""),"",IF(I98="Single Pay",0,H98*IFERROR(INDEX(Lists!$D$2:$D$6,MATCH(I98,Lists!$C$2:$C$6,0)),0)))</f>
        <v/>
      </c>
      <c r="K98" s="31" t="n"/>
      <c r="L98" s="31" t="n"/>
      <c r="M98" s="32" t="n"/>
      <c r="N98" s="25">
        <f>IF(OR(L98="",M98=""),"",EDATE(L98,12*M98))</f>
        <v/>
      </c>
      <c r="O98" s="28" t="n"/>
      <c r="P98" s="32" t="n"/>
      <c r="Q98" s="31" t="n"/>
      <c r="R98" s="26">
        <f>IF(Q98="","",Q98-TODAY())</f>
        <v/>
      </c>
      <c r="S98" s="22">
        <f>IF(A98="","",SUMIFS(Payments!$C$2:$C$301,Payments!$B$2:$B$301,A98))</f>
        <v/>
      </c>
      <c r="T98" s="27">
        <f>IF(A98="","",SUMIFS(Beneficiaries!$E$2:$E$301,Beneficiaries!$A$2:$A$301,A98,Beneficiaries!$D$2:$D$301,"Primary"))</f>
        <v/>
      </c>
      <c r="U98" s="28" t="n"/>
      <c r="V98" s="28" t="n"/>
    </row>
    <row r="99">
      <c r="A99" s="28" t="n"/>
      <c r="B99" s="28" t="n"/>
      <c r="C99" s="28" t="n"/>
      <c r="D99" s="28" t="n"/>
      <c r="E99" s="28" t="n"/>
      <c r="F99" s="28" t="n"/>
      <c r="G99" s="29" t="n"/>
      <c r="H99" s="30" t="n"/>
      <c r="I99" s="28" t="n"/>
      <c r="J99" s="22">
        <f>IF(OR(H99="",I99=""),"",IF(I99="Single Pay",0,H99*IFERROR(INDEX(Lists!$D$2:$D$6,MATCH(I99,Lists!$C$2:$C$6,0)),0)))</f>
        <v/>
      </c>
      <c r="K99" s="31" t="n"/>
      <c r="L99" s="31" t="n"/>
      <c r="M99" s="32" t="n"/>
      <c r="N99" s="25">
        <f>IF(OR(L99="",M99=""),"",EDATE(L99,12*M99))</f>
        <v/>
      </c>
      <c r="O99" s="28" t="n"/>
      <c r="P99" s="32" t="n"/>
      <c r="Q99" s="31" t="n"/>
      <c r="R99" s="26">
        <f>IF(Q99="","",Q99-TODAY())</f>
        <v/>
      </c>
      <c r="S99" s="22">
        <f>IF(A99="","",SUMIFS(Payments!$C$2:$C$301,Payments!$B$2:$B$301,A99))</f>
        <v/>
      </c>
      <c r="T99" s="27">
        <f>IF(A99="","",SUMIFS(Beneficiaries!$E$2:$E$301,Beneficiaries!$A$2:$A$301,A99,Beneficiaries!$D$2:$D$301,"Primary"))</f>
        <v/>
      </c>
      <c r="U99" s="28" t="n"/>
      <c r="V99" s="28" t="n"/>
    </row>
    <row r="100">
      <c r="A100" s="28" t="n"/>
      <c r="B100" s="28" t="n"/>
      <c r="C100" s="28" t="n"/>
      <c r="D100" s="28" t="n"/>
      <c r="E100" s="28" t="n"/>
      <c r="F100" s="28" t="n"/>
      <c r="G100" s="29" t="n"/>
      <c r="H100" s="30" t="n"/>
      <c r="I100" s="28" t="n"/>
      <c r="J100" s="22">
        <f>IF(OR(H100="",I100=""),"",IF(I100="Single Pay",0,H100*IFERROR(INDEX(Lists!$D$2:$D$6,MATCH(I100,Lists!$C$2:$C$6,0)),0)))</f>
        <v/>
      </c>
      <c r="K100" s="31" t="n"/>
      <c r="L100" s="31" t="n"/>
      <c r="M100" s="32" t="n"/>
      <c r="N100" s="25">
        <f>IF(OR(L100="",M100=""),"",EDATE(L100,12*M100))</f>
        <v/>
      </c>
      <c r="O100" s="28" t="n"/>
      <c r="P100" s="32" t="n"/>
      <c r="Q100" s="31" t="n"/>
      <c r="R100" s="26">
        <f>IF(Q100="","",Q100-TODAY())</f>
        <v/>
      </c>
      <c r="S100" s="22">
        <f>IF(A100="","",SUMIFS(Payments!$C$2:$C$301,Payments!$B$2:$B$301,A100))</f>
        <v/>
      </c>
      <c r="T100" s="27">
        <f>IF(A100="","",SUMIFS(Beneficiaries!$E$2:$E$301,Beneficiaries!$A$2:$A$301,A100,Beneficiaries!$D$2:$D$301,"Primary"))</f>
        <v/>
      </c>
      <c r="U100" s="28" t="n"/>
      <c r="V100" s="28" t="n"/>
    </row>
    <row r="101">
      <c r="A101" s="28" t="n"/>
      <c r="B101" s="28" t="n"/>
      <c r="C101" s="28" t="n"/>
      <c r="D101" s="28" t="n"/>
      <c r="E101" s="28" t="n"/>
      <c r="F101" s="28" t="n"/>
      <c r="G101" s="29" t="n"/>
      <c r="H101" s="30" t="n"/>
      <c r="I101" s="28" t="n"/>
      <c r="J101" s="22">
        <f>IF(OR(H101="",I101=""),"",IF(I101="Single Pay",0,H101*IFERROR(INDEX(Lists!$D$2:$D$6,MATCH(I101,Lists!$C$2:$C$6,0)),0)))</f>
        <v/>
      </c>
      <c r="K101" s="31" t="n"/>
      <c r="L101" s="31" t="n"/>
      <c r="M101" s="32" t="n"/>
      <c r="N101" s="25">
        <f>IF(OR(L101="",M101=""),"",EDATE(L101,12*M101))</f>
        <v/>
      </c>
      <c r="O101" s="28" t="n"/>
      <c r="P101" s="32" t="n"/>
      <c r="Q101" s="31" t="n"/>
      <c r="R101" s="26">
        <f>IF(Q101="","",Q101-TODAY())</f>
        <v/>
      </c>
      <c r="S101" s="22">
        <f>IF(A101="","",SUMIFS(Payments!$C$2:$C$301,Payments!$B$2:$B$301,A101))</f>
        <v/>
      </c>
      <c r="T101" s="27">
        <f>IF(A101="","",SUMIFS(Beneficiaries!$E$2:$E$301,Beneficiaries!$A$2:$A$301,A101,Beneficiaries!$D$2:$D$301,"Primary"))</f>
        <v/>
      </c>
      <c r="U101" s="28" t="n"/>
      <c r="V101" s="28" t="n"/>
    </row>
    <row r="102">
      <c r="A102" s="28" t="n"/>
      <c r="B102" s="28" t="n"/>
      <c r="C102" s="28" t="n"/>
      <c r="D102" s="28" t="n"/>
      <c r="E102" s="28" t="n"/>
      <c r="F102" s="28" t="n"/>
      <c r="G102" s="29" t="n"/>
      <c r="H102" s="30" t="n"/>
      <c r="I102" s="28" t="n"/>
      <c r="J102" s="22">
        <f>IF(OR(H102="",I102=""),"",IF(I102="Single Pay",0,H102*IFERROR(INDEX(Lists!$D$2:$D$6,MATCH(I102,Lists!$C$2:$C$6,0)),0)))</f>
        <v/>
      </c>
      <c r="K102" s="31" t="n"/>
      <c r="L102" s="31" t="n"/>
      <c r="M102" s="32" t="n"/>
      <c r="N102" s="25">
        <f>IF(OR(L102="",M102=""),"",EDATE(L102,12*M102))</f>
        <v/>
      </c>
      <c r="O102" s="28" t="n"/>
      <c r="P102" s="32" t="n"/>
      <c r="Q102" s="31" t="n"/>
      <c r="R102" s="26">
        <f>IF(Q102="","",Q102-TODAY())</f>
        <v/>
      </c>
      <c r="S102" s="22">
        <f>IF(A102="","",SUMIFS(Payments!$C$2:$C$301,Payments!$B$2:$B$301,A102))</f>
        <v/>
      </c>
      <c r="T102" s="27">
        <f>IF(A102="","",SUMIFS(Beneficiaries!$E$2:$E$301,Beneficiaries!$A$2:$A$301,A102,Beneficiaries!$D$2:$D$301,"Primary"))</f>
        <v/>
      </c>
      <c r="U102" s="28" t="n"/>
      <c r="V102" s="28" t="n"/>
    </row>
    <row r="103">
      <c r="A103" s="28" t="n"/>
      <c r="B103" s="28" t="n"/>
      <c r="C103" s="28" t="n"/>
      <c r="D103" s="28" t="n"/>
      <c r="E103" s="28" t="n"/>
      <c r="F103" s="28" t="n"/>
      <c r="G103" s="29" t="n"/>
      <c r="H103" s="30" t="n"/>
      <c r="I103" s="28" t="n"/>
      <c r="J103" s="22">
        <f>IF(OR(H103="",I103=""),"",IF(I103="Single Pay",0,H103*IFERROR(INDEX(Lists!$D$2:$D$6,MATCH(I103,Lists!$C$2:$C$6,0)),0)))</f>
        <v/>
      </c>
      <c r="K103" s="31" t="n"/>
      <c r="L103" s="31" t="n"/>
      <c r="M103" s="32" t="n"/>
      <c r="N103" s="25">
        <f>IF(OR(L103="",M103=""),"",EDATE(L103,12*M103))</f>
        <v/>
      </c>
      <c r="O103" s="28" t="n"/>
      <c r="P103" s="32" t="n"/>
      <c r="Q103" s="31" t="n"/>
      <c r="R103" s="26">
        <f>IF(Q103="","",Q103-TODAY())</f>
        <v/>
      </c>
      <c r="S103" s="22">
        <f>IF(A103="","",SUMIFS(Payments!$C$2:$C$301,Payments!$B$2:$B$301,A103))</f>
        <v/>
      </c>
      <c r="T103" s="27">
        <f>IF(A103="","",SUMIFS(Beneficiaries!$E$2:$E$301,Beneficiaries!$A$2:$A$301,A103,Beneficiaries!$D$2:$D$301,"Primary"))</f>
        <v/>
      </c>
      <c r="U103" s="28" t="n"/>
      <c r="V103" s="28" t="n"/>
    </row>
    <row r="104">
      <c r="A104" s="28" t="n"/>
      <c r="B104" s="28" t="n"/>
      <c r="C104" s="28" t="n"/>
      <c r="D104" s="28" t="n"/>
      <c r="E104" s="28" t="n"/>
      <c r="F104" s="28" t="n"/>
      <c r="G104" s="29" t="n"/>
      <c r="H104" s="30" t="n"/>
      <c r="I104" s="28" t="n"/>
      <c r="J104" s="22">
        <f>IF(OR(H104="",I104=""),"",IF(I104="Single Pay",0,H104*IFERROR(INDEX(Lists!$D$2:$D$6,MATCH(I104,Lists!$C$2:$C$6,0)),0)))</f>
        <v/>
      </c>
      <c r="K104" s="31" t="n"/>
      <c r="L104" s="31" t="n"/>
      <c r="M104" s="32" t="n"/>
      <c r="N104" s="25">
        <f>IF(OR(L104="",M104=""),"",EDATE(L104,12*M104))</f>
        <v/>
      </c>
      <c r="O104" s="28" t="n"/>
      <c r="P104" s="32" t="n"/>
      <c r="Q104" s="31" t="n"/>
      <c r="R104" s="26">
        <f>IF(Q104="","",Q104-TODAY())</f>
        <v/>
      </c>
      <c r="S104" s="22">
        <f>IF(A104="","",SUMIFS(Payments!$C$2:$C$301,Payments!$B$2:$B$301,A104))</f>
        <v/>
      </c>
      <c r="T104" s="27">
        <f>IF(A104="","",SUMIFS(Beneficiaries!$E$2:$E$301,Beneficiaries!$A$2:$A$301,A104,Beneficiaries!$D$2:$D$301,"Primary"))</f>
        <v/>
      </c>
      <c r="U104" s="28" t="n"/>
      <c r="V104" s="28" t="n"/>
    </row>
    <row r="105">
      <c r="A105" s="28" t="n"/>
      <c r="B105" s="28" t="n"/>
      <c r="C105" s="28" t="n"/>
      <c r="D105" s="28" t="n"/>
      <c r="E105" s="28" t="n"/>
      <c r="F105" s="28" t="n"/>
      <c r="G105" s="29" t="n"/>
      <c r="H105" s="30" t="n"/>
      <c r="I105" s="28" t="n"/>
      <c r="J105" s="22">
        <f>IF(OR(H105="",I105=""),"",IF(I105="Single Pay",0,H105*IFERROR(INDEX(Lists!$D$2:$D$6,MATCH(I105,Lists!$C$2:$C$6,0)),0)))</f>
        <v/>
      </c>
      <c r="K105" s="31" t="n"/>
      <c r="L105" s="31" t="n"/>
      <c r="M105" s="32" t="n"/>
      <c r="N105" s="25">
        <f>IF(OR(L105="",M105=""),"",EDATE(L105,12*M105))</f>
        <v/>
      </c>
      <c r="O105" s="28" t="n"/>
      <c r="P105" s="32" t="n"/>
      <c r="Q105" s="31" t="n"/>
      <c r="R105" s="26">
        <f>IF(Q105="","",Q105-TODAY())</f>
        <v/>
      </c>
      <c r="S105" s="22">
        <f>IF(A105="","",SUMIFS(Payments!$C$2:$C$301,Payments!$B$2:$B$301,A105))</f>
        <v/>
      </c>
      <c r="T105" s="27">
        <f>IF(A105="","",SUMIFS(Beneficiaries!$E$2:$E$301,Beneficiaries!$A$2:$A$301,A105,Beneficiaries!$D$2:$D$301,"Primary"))</f>
        <v/>
      </c>
      <c r="U105" s="28" t="n"/>
      <c r="V105" s="28" t="n"/>
    </row>
    <row r="106">
      <c r="A106" s="28" t="n"/>
      <c r="B106" s="28" t="n"/>
      <c r="C106" s="28" t="n"/>
      <c r="D106" s="28" t="n"/>
      <c r="E106" s="28" t="n"/>
      <c r="F106" s="28" t="n"/>
      <c r="G106" s="29" t="n"/>
      <c r="H106" s="30" t="n"/>
      <c r="I106" s="28" t="n"/>
      <c r="J106" s="22">
        <f>IF(OR(H106="",I106=""),"",IF(I106="Single Pay",0,H106*IFERROR(INDEX(Lists!$D$2:$D$6,MATCH(I106,Lists!$C$2:$C$6,0)),0)))</f>
        <v/>
      </c>
      <c r="K106" s="31" t="n"/>
      <c r="L106" s="31" t="n"/>
      <c r="M106" s="32" t="n"/>
      <c r="N106" s="25">
        <f>IF(OR(L106="",M106=""),"",EDATE(L106,12*M106))</f>
        <v/>
      </c>
      <c r="O106" s="28" t="n"/>
      <c r="P106" s="32" t="n"/>
      <c r="Q106" s="31" t="n"/>
      <c r="R106" s="26">
        <f>IF(Q106="","",Q106-TODAY())</f>
        <v/>
      </c>
      <c r="S106" s="22">
        <f>IF(A106="","",SUMIFS(Payments!$C$2:$C$301,Payments!$B$2:$B$301,A106))</f>
        <v/>
      </c>
      <c r="T106" s="27">
        <f>IF(A106="","",SUMIFS(Beneficiaries!$E$2:$E$301,Beneficiaries!$A$2:$A$301,A106,Beneficiaries!$D$2:$D$301,"Primary"))</f>
        <v/>
      </c>
      <c r="U106" s="28" t="n"/>
      <c r="V106" s="28" t="n"/>
    </row>
    <row r="107">
      <c r="A107" s="28" t="n"/>
      <c r="B107" s="28" t="n"/>
      <c r="C107" s="28" t="n"/>
      <c r="D107" s="28" t="n"/>
      <c r="E107" s="28" t="n"/>
      <c r="F107" s="28" t="n"/>
      <c r="G107" s="29" t="n"/>
      <c r="H107" s="30" t="n"/>
      <c r="I107" s="28" t="n"/>
      <c r="J107" s="22">
        <f>IF(OR(H107="",I107=""),"",IF(I107="Single Pay",0,H107*IFERROR(INDEX(Lists!$D$2:$D$6,MATCH(I107,Lists!$C$2:$C$6,0)),0)))</f>
        <v/>
      </c>
      <c r="K107" s="31" t="n"/>
      <c r="L107" s="31" t="n"/>
      <c r="M107" s="32" t="n"/>
      <c r="N107" s="25">
        <f>IF(OR(L107="",M107=""),"",EDATE(L107,12*M107))</f>
        <v/>
      </c>
      <c r="O107" s="28" t="n"/>
      <c r="P107" s="32" t="n"/>
      <c r="Q107" s="31" t="n"/>
      <c r="R107" s="26">
        <f>IF(Q107="","",Q107-TODAY())</f>
        <v/>
      </c>
      <c r="S107" s="22">
        <f>IF(A107="","",SUMIFS(Payments!$C$2:$C$301,Payments!$B$2:$B$301,A107))</f>
        <v/>
      </c>
      <c r="T107" s="27">
        <f>IF(A107="","",SUMIFS(Beneficiaries!$E$2:$E$301,Beneficiaries!$A$2:$A$301,A107,Beneficiaries!$D$2:$D$301,"Primary"))</f>
        <v/>
      </c>
      <c r="U107" s="28" t="n"/>
      <c r="V107" s="28" t="n"/>
    </row>
    <row r="108">
      <c r="A108" s="28" t="n"/>
      <c r="B108" s="28" t="n"/>
      <c r="C108" s="28" t="n"/>
      <c r="D108" s="28" t="n"/>
      <c r="E108" s="28" t="n"/>
      <c r="F108" s="28" t="n"/>
      <c r="G108" s="29" t="n"/>
      <c r="H108" s="30" t="n"/>
      <c r="I108" s="28" t="n"/>
      <c r="J108" s="22">
        <f>IF(OR(H108="",I108=""),"",IF(I108="Single Pay",0,H108*IFERROR(INDEX(Lists!$D$2:$D$6,MATCH(I108,Lists!$C$2:$C$6,0)),0)))</f>
        <v/>
      </c>
      <c r="K108" s="31" t="n"/>
      <c r="L108" s="31" t="n"/>
      <c r="M108" s="32" t="n"/>
      <c r="N108" s="25">
        <f>IF(OR(L108="",M108=""),"",EDATE(L108,12*M108))</f>
        <v/>
      </c>
      <c r="O108" s="28" t="n"/>
      <c r="P108" s="32" t="n"/>
      <c r="Q108" s="31" t="n"/>
      <c r="R108" s="26">
        <f>IF(Q108="","",Q108-TODAY())</f>
        <v/>
      </c>
      <c r="S108" s="22">
        <f>IF(A108="","",SUMIFS(Payments!$C$2:$C$301,Payments!$B$2:$B$301,A108))</f>
        <v/>
      </c>
      <c r="T108" s="27">
        <f>IF(A108="","",SUMIFS(Beneficiaries!$E$2:$E$301,Beneficiaries!$A$2:$A$301,A108,Beneficiaries!$D$2:$D$301,"Primary"))</f>
        <v/>
      </c>
      <c r="U108" s="28" t="n"/>
      <c r="V108" s="28" t="n"/>
    </row>
    <row r="109">
      <c r="A109" s="28" t="n"/>
      <c r="B109" s="28" t="n"/>
      <c r="C109" s="28" t="n"/>
      <c r="D109" s="28" t="n"/>
      <c r="E109" s="28" t="n"/>
      <c r="F109" s="28" t="n"/>
      <c r="G109" s="29" t="n"/>
      <c r="H109" s="30" t="n"/>
      <c r="I109" s="28" t="n"/>
      <c r="J109" s="22">
        <f>IF(OR(H109="",I109=""),"",IF(I109="Single Pay",0,H109*IFERROR(INDEX(Lists!$D$2:$D$6,MATCH(I109,Lists!$C$2:$C$6,0)),0)))</f>
        <v/>
      </c>
      <c r="K109" s="31" t="n"/>
      <c r="L109" s="31" t="n"/>
      <c r="M109" s="32" t="n"/>
      <c r="N109" s="25">
        <f>IF(OR(L109="",M109=""),"",EDATE(L109,12*M109))</f>
        <v/>
      </c>
      <c r="O109" s="28" t="n"/>
      <c r="P109" s="32" t="n"/>
      <c r="Q109" s="31" t="n"/>
      <c r="R109" s="26">
        <f>IF(Q109="","",Q109-TODAY())</f>
        <v/>
      </c>
      <c r="S109" s="22">
        <f>IF(A109="","",SUMIFS(Payments!$C$2:$C$301,Payments!$B$2:$B$301,A109))</f>
        <v/>
      </c>
      <c r="T109" s="27">
        <f>IF(A109="","",SUMIFS(Beneficiaries!$E$2:$E$301,Beneficiaries!$A$2:$A$301,A109,Beneficiaries!$D$2:$D$301,"Primary"))</f>
        <v/>
      </c>
      <c r="U109" s="28" t="n"/>
      <c r="V109" s="28" t="n"/>
    </row>
    <row r="110">
      <c r="A110" s="28" t="n"/>
      <c r="B110" s="28" t="n"/>
      <c r="C110" s="28" t="n"/>
      <c r="D110" s="28" t="n"/>
      <c r="E110" s="28" t="n"/>
      <c r="F110" s="28" t="n"/>
      <c r="G110" s="29" t="n"/>
      <c r="H110" s="30" t="n"/>
      <c r="I110" s="28" t="n"/>
      <c r="J110" s="22">
        <f>IF(OR(H110="",I110=""),"",IF(I110="Single Pay",0,H110*IFERROR(INDEX(Lists!$D$2:$D$6,MATCH(I110,Lists!$C$2:$C$6,0)),0)))</f>
        <v/>
      </c>
      <c r="K110" s="31" t="n"/>
      <c r="L110" s="31" t="n"/>
      <c r="M110" s="32" t="n"/>
      <c r="N110" s="25">
        <f>IF(OR(L110="",M110=""),"",EDATE(L110,12*M110))</f>
        <v/>
      </c>
      <c r="O110" s="28" t="n"/>
      <c r="P110" s="32" t="n"/>
      <c r="Q110" s="31" t="n"/>
      <c r="R110" s="26">
        <f>IF(Q110="","",Q110-TODAY())</f>
        <v/>
      </c>
      <c r="S110" s="22">
        <f>IF(A110="","",SUMIFS(Payments!$C$2:$C$301,Payments!$B$2:$B$301,A110))</f>
        <v/>
      </c>
      <c r="T110" s="27">
        <f>IF(A110="","",SUMIFS(Beneficiaries!$E$2:$E$301,Beneficiaries!$A$2:$A$301,A110,Beneficiaries!$D$2:$D$301,"Primary"))</f>
        <v/>
      </c>
      <c r="U110" s="28" t="n"/>
      <c r="V110" s="28" t="n"/>
    </row>
    <row r="111">
      <c r="A111" s="28" t="n"/>
      <c r="B111" s="28" t="n"/>
      <c r="C111" s="28" t="n"/>
      <c r="D111" s="28" t="n"/>
      <c r="E111" s="28" t="n"/>
      <c r="F111" s="28" t="n"/>
      <c r="G111" s="29" t="n"/>
      <c r="H111" s="30" t="n"/>
      <c r="I111" s="28" t="n"/>
      <c r="J111" s="22">
        <f>IF(OR(H111="",I111=""),"",IF(I111="Single Pay",0,H111*IFERROR(INDEX(Lists!$D$2:$D$6,MATCH(I111,Lists!$C$2:$C$6,0)),0)))</f>
        <v/>
      </c>
      <c r="K111" s="31" t="n"/>
      <c r="L111" s="31" t="n"/>
      <c r="M111" s="32" t="n"/>
      <c r="N111" s="25">
        <f>IF(OR(L111="",M111=""),"",EDATE(L111,12*M111))</f>
        <v/>
      </c>
      <c r="O111" s="28" t="n"/>
      <c r="P111" s="32" t="n"/>
      <c r="Q111" s="31" t="n"/>
      <c r="R111" s="26">
        <f>IF(Q111="","",Q111-TODAY())</f>
        <v/>
      </c>
      <c r="S111" s="22">
        <f>IF(A111="","",SUMIFS(Payments!$C$2:$C$301,Payments!$B$2:$B$301,A111))</f>
        <v/>
      </c>
      <c r="T111" s="27">
        <f>IF(A111="","",SUMIFS(Beneficiaries!$E$2:$E$301,Beneficiaries!$A$2:$A$301,A111,Beneficiaries!$D$2:$D$301,"Primary"))</f>
        <v/>
      </c>
      <c r="U111" s="28" t="n"/>
      <c r="V111" s="28" t="n"/>
    </row>
    <row r="112">
      <c r="A112" s="28" t="n"/>
      <c r="B112" s="28" t="n"/>
      <c r="C112" s="28" t="n"/>
      <c r="D112" s="28" t="n"/>
      <c r="E112" s="28" t="n"/>
      <c r="F112" s="28" t="n"/>
      <c r="G112" s="29" t="n"/>
      <c r="H112" s="30" t="n"/>
      <c r="I112" s="28" t="n"/>
      <c r="J112" s="22">
        <f>IF(OR(H112="",I112=""),"",IF(I112="Single Pay",0,H112*IFERROR(INDEX(Lists!$D$2:$D$6,MATCH(I112,Lists!$C$2:$C$6,0)),0)))</f>
        <v/>
      </c>
      <c r="K112" s="31" t="n"/>
      <c r="L112" s="31" t="n"/>
      <c r="M112" s="32" t="n"/>
      <c r="N112" s="25">
        <f>IF(OR(L112="",M112=""),"",EDATE(L112,12*M112))</f>
        <v/>
      </c>
      <c r="O112" s="28" t="n"/>
      <c r="P112" s="32" t="n"/>
      <c r="Q112" s="31" t="n"/>
      <c r="R112" s="26">
        <f>IF(Q112="","",Q112-TODAY())</f>
        <v/>
      </c>
      <c r="S112" s="22">
        <f>IF(A112="","",SUMIFS(Payments!$C$2:$C$301,Payments!$B$2:$B$301,A112))</f>
        <v/>
      </c>
      <c r="T112" s="27">
        <f>IF(A112="","",SUMIFS(Beneficiaries!$E$2:$E$301,Beneficiaries!$A$2:$A$301,A112,Beneficiaries!$D$2:$D$301,"Primary"))</f>
        <v/>
      </c>
      <c r="U112" s="28" t="n"/>
      <c r="V112" s="28" t="n"/>
    </row>
    <row r="113">
      <c r="A113" s="28" t="n"/>
      <c r="B113" s="28" t="n"/>
      <c r="C113" s="28" t="n"/>
      <c r="D113" s="28" t="n"/>
      <c r="E113" s="28" t="n"/>
      <c r="F113" s="28" t="n"/>
      <c r="G113" s="29" t="n"/>
      <c r="H113" s="30" t="n"/>
      <c r="I113" s="28" t="n"/>
      <c r="J113" s="22">
        <f>IF(OR(H113="",I113=""),"",IF(I113="Single Pay",0,H113*IFERROR(INDEX(Lists!$D$2:$D$6,MATCH(I113,Lists!$C$2:$C$6,0)),0)))</f>
        <v/>
      </c>
      <c r="K113" s="31" t="n"/>
      <c r="L113" s="31" t="n"/>
      <c r="M113" s="32" t="n"/>
      <c r="N113" s="25">
        <f>IF(OR(L113="",M113=""),"",EDATE(L113,12*M113))</f>
        <v/>
      </c>
      <c r="O113" s="28" t="n"/>
      <c r="P113" s="32" t="n"/>
      <c r="Q113" s="31" t="n"/>
      <c r="R113" s="26">
        <f>IF(Q113="","",Q113-TODAY())</f>
        <v/>
      </c>
      <c r="S113" s="22">
        <f>IF(A113="","",SUMIFS(Payments!$C$2:$C$301,Payments!$B$2:$B$301,A113))</f>
        <v/>
      </c>
      <c r="T113" s="27">
        <f>IF(A113="","",SUMIFS(Beneficiaries!$E$2:$E$301,Beneficiaries!$A$2:$A$301,A113,Beneficiaries!$D$2:$D$301,"Primary"))</f>
        <v/>
      </c>
      <c r="U113" s="28" t="n"/>
      <c r="V113" s="28" t="n"/>
    </row>
    <row r="114">
      <c r="A114" s="28" t="n"/>
      <c r="B114" s="28" t="n"/>
      <c r="C114" s="28" t="n"/>
      <c r="D114" s="28" t="n"/>
      <c r="E114" s="28" t="n"/>
      <c r="F114" s="28" t="n"/>
      <c r="G114" s="29" t="n"/>
      <c r="H114" s="30" t="n"/>
      <c r="I114" s="28" t="n"/>
      <c r="J114" s="22">
        <f>IF(OR(H114="",I114=""),"",IF(I114="Single Pay",0,H114*IFERROR(INDEX(Lists!$D$2:$D$6,MATCH(I114,Lists!$C$2:$C$6,0)),0)))</f>
        <v/>
      </c>
      <c r="K114" s="31" t="n"/>
      <c r="L114" s="31" t="n"/>
      <c r="M114" s="32" t="n"/>
      <c r="N114" s="25">
        <f>IF(OR(L114="",M114=""),"",EDATE(L114,12*M114))</f>
        <v/>
      </c>
      <c r="O114" s="28" t="n"/>
      <c r="P114" s="32" t="n"/>
      <c r="Q114" s="31" t="n"/>
      <c r="R114" s="26">
        <f>IF(Q114="","",Q114-TODAY())</f>
        <v/>
      </c>
      <c r="S114" s="22">
        <f>IF(A114="","",SUMIFS(Payments!$C$2:$C$301,Payments!$B$2:$B$301,A114))</f>
        <v/>
      </c>
      <c r="T114" s="27">
        <f>IF(A114="","",SUMIFS(Beneficiaries!$E$2:$E$301,Beneficiaries!$A$2:$A$301,A114,Beneficiaries!$D$2:$D$301,"Primary"))</f>
        <v/>
      </c>
      <c r="U114" s="28" t="n"/>
      <c r="V114" s="28" t="n"/>
    </row>
    <row r="115">
      <c r="A115" s="28" t="n"/>
      <c r="B115" s="28" t="n"/>
      <c r="C115" s="28" t="n"/>
      <c r="D115" s="28" t="n"/>
      <c r="E115" s="28" t="n"/>
      <c r="F115" s="28" t="n"/>
      <c r="G115" s="29" t="n"/>
      <c r="H115" s="30" t="n"/>
      <c r="I115" s="28" t="n"/>
      <c r="J115" s="22">
        <f>IF(OR(H115="",I115=""),"",IF(I115="Single Pay",0,H115*IFERROR(INDEX(Lists!$D$2:$D$6,MATCH(I115,Lists!$C$2:$C$6,0)),0)))</f>
        <v/>
      </c>
      <c r="K115" s="31" t="n"/>
      <c r="L115" s="31" t="n"/>
      <c r="M115" s="32" t="n"/>
      <c r="N115" s="25">
        <f>IF(OR(L115="",M115=""),"",EDATE(L115,12*M115))</f>
        <v/>
      </c>
      <c r="O115" s="28" t="n"/>
      <c r="P115" s="32" t="n"/>
      <c r="Q115" s="31" t="n"/>
      <c r="R115" s="26">
        <f>IF(Q115="","",Q115-TODAY())</f>
        <v/>
      </c>
      <c r="S115" s="22">
        <f>IF(A115="","",SUMIFS(Payments!$C$2:$C$301,Payments!$B$2:$B$301,A115))</f>
        <v/>
      </c>
      <c r="T115" s="27">
        <f>IF(A115="","",SUMIFS(Beneficiaries!$E$2:$E$301,Beneficiaries!$A$2:$A$301,A115,Beneficiaries!$D$2:$D$301,"Primary"))</f>
        <v/>
      </c>
      <c r="U115" s="28" t="n"/>
      <c r="V115" s="28" t="n"/>
    </row>
    <row r="116">
      <c r="A116" s="28" t="n"/>
      <c r="B116" s="28" t="n"/>
      <c r="C116" s="28" t="n"/>
      <c r="D116" s="28" t="n"/>
      <c r="E116" s="28" t="n"/>
      <c r="F116" s="28" t="n"/>
      <c r="G116" s="29" t="n"/>
      <c r="H116" s="30" t="n"/>
      <c r="I116" s="28" t="n"/>
      <c r="J116" s="22">
        <f>IF(OR(H116="",I116=""),"",IF(I116="Single Pay",0,H116*IFERROR(INDEX(Lists!$D$2:$D$6,MATCH(I116,Lists!$C$2:$C$6,0)),0)))</f>
        <v/>
      </c>
      <c r="K116" s="31" t="n"/>
      <c r="L116" s="31" t="n"/>
      <c r="M116" s="32" t="n"/>
      <c r="N116" s="25">
        <f>IF(OR(L116="",M116=""),"",EDATE(L116,12*M116))</f>
        <v/>
      </c>
      <c r="O116" s="28" t="n"/>
      <c r="P116" s="32" t="n"/>
      <c r="Q116" s="31" t="n"/>
      <c r="R116" s="26">
        <f>IF(Q116="","",Q116-TODAY())</f>
        <v/>
      </c>
      <c r="S116" s="22">
        <f>IF(A116="","",SUMIFS(Payments!$C$2:$C$301,Payments!$B$2:$B$301,A116))</f>
        <v/>
      </c>
      <c r="T116" s="27">
        <f>IF(A116="","",SUMIFS(Beneficiaries!$E$2:$E$301,Beneficiaries!$A$2:$A$301,A116,Beneficiaries!$D$2:$D$301,"Primary"))</f>
        <v/>
      </c>
      <c r="U116" s="28" t="n"/>
      <c r="V116" s="28" t="n"/>
    </row>
    <row r="117">
      <c r="A117" s="28" t="n"/>
      <c r="B117" s="28" t="n"/>
      <c r="C117" s="28" t="n"/>
      <c r="D117" s="28" t="n"/>
      <c r="E117" s="28" t="n"/>
      <c r="F117" s="28" t="n"/>
      <c r="G117" s="29" t="n"/>
      <c r="H117" s="30" t="n"/>
      <c r="I117" s="28" t="n"/>
      <c r="J117" s="22">
        <f>IF(OR(H117="",I117=""),"",IF(I117="Single Pay",0,H117*IFERROR(INDEX(Lists!$D$2:$D$6,MATCH(I117,Lists!$C$2:$C$6,0)),0)))</f>
        <v/>
      </c>
      <c r="K117" s="31" t="n"/>
      <c r="L117" s="31" t="n"/>
      <c r="M117" s="32" t="n"/>
      <c r="N117" s="25">
        <f>IF(OR(L117="",M117=""),"",EDATE(L117,12*M117))</f>
        <v/>
      </c>
      <c r="O117" s="28" t="n"/>
      <c r="P117" s="32" t="n"/>
      <c r="Q117" s="31" t="n"/>
      <c r="R117" s="26">
        <f>IF(Q117="","",Q117-TODAY())</f>
        <v/>
      </c>
      <c r="S117" s="22">
        <f>IF(A117="","",SUMIFS(Payments!$C$2:$C$301,Payments!$B$2:$B$301,A117))</f>
        <v/>
      </c>
      <c r="T117" s="27">
        <f>IF(A117="","",SUMIFS(Beneficiaries!$E$2:$E$301,Beneficiaries!$A$2:$A$301,A117,Beneficiaries!$D$2:$D$301,"Primary"))</f>
        <v/>
      </c>
      <c r="U117" s="28" t="n"/>
      <c r="V117" s="28" t="n"/>
    </row>
    <row r="118">
      <c r="A118" s="28" t="n"/>
      <c r="B118" s="28" t="n"/>
      <c r="C118" s="28" t="n"/>
      <c r="D118" s="28" t="n"/>
      <c r="E118" s="28" t="n"/>
      <c r="F118" s="28" t="n"/>
      <c r="G118" s="29" t="n"/>
      <c r="H118" s="30" t="n"/>
      <c r="I118" s="28" t="n"/>
      <c r="J118" s="22">
        <f>IF(OR(H118="",I118=""),"",IF(I118="Single Pay",0,H118*IFERROR(INDEX(Lists!$D$2:$D$6,MATCH(I118,Lists!$C$2:$C$6,0)),0)))</f>
        <v/>
      </c>
      <c r="K118" s="31" t="n"/>
      <c r="L118" s="31" t="n"/>
      <c r="M118" s="32" t="n"/>
      <c r="N118" s="25">
        <f>IF(OR(L118="",M118=""),"",EDATE(L118,12*M118))</f>
        <v/>
      </c>
      <c r="O118" s="28" t="n"/>
      <c r="P118" s="32" t="n"/>
      <c r="Q118" s="31" t="n"/>
      <c r="R118" s="26">
        <f>IF(Q118="","",Q118-TODAY())</f>
        <v/>
      </c>
      <c r="S118" s="22">
        <f>IF(A118="","",SUMIFS(Payments!$C$2:$C$301,Payments!$B$2:$B$301,A118))</f>
        <v/>
      </c>
      <c r="T118" s="27">
        <f>IF(A118="","",SUMIFS(Beneficiaries!$E$2:$E$301,Beneficiaries!$A$2:$A$301,A118,Beneficiaries!$D$2:$D$301,"Primary"))</f>
        <v/>
      </c>
      <c r="U118" s="28" t="n"/>
      <c r="V118" s="28" t="n"/>
    </row>
    <row r="119">
      <c r="A119" s="28" t="n"/>
      <c r="B119" s="28" t="n"/>
      <c r="C119" s="28" t="n"/>
      <c r="D119" s="28" t="n"/>
      <c r="E119" s="28" t="n"/>
      <c r="F119" s="28" t="n"/>
      <c r="G119" s="29" t="n"/>
      <c r="H119" s="30" t="n"/>
      <c r="I119" s="28" t="n"/>
      <c r="J119" s="22">
        <f>IF(OR(H119="",I119=""),"",IF(I119="Single Pay",0,H119*IFERROR(INDEX(Lists!$D$2:$D$6,MATCH(I119,Lists!$C$2:$C$6,0)),0)))</f>
        <v/>
      </c>
      <c r="K119" s="31" t="n"/>
      <c r="L119" s="31" t="n"/>
      <c r="M119" s="32" t="n"/>
      <c r="N119" s="25">
        <f>IF(OR(L119="",M119=""),"",EDATE(L119,12*M119))</f>
        <v/>
      </c>
      <c r="O119" s="28" t="n"/>
      <c r="P119" s="32" t="n"/>
      <c r="Q119" s="31" t="n"/>
      <c r="R119" s="26">
        <f>IF(Q119="","",Q119-TODAY())</f>
        <v/>
      </c>
      <c r="S119" s="22">
        <f>IF(A119="","",SUMIFS(Payments!$C$2:$C$301,Payments!$B$2:$B$301,A119))</f>
        <v/>
      </c>
      <c r="T119" s="27">
        <f>IF(A119="","",SUMIFS(Beneficiaries!$E$2:$E$301,Beneficiaries!$A$2:$A$301,A119,Beneficiaries!$D$2:$D$301,"Primary"))</f>
        <v/>
      </c>
      <c r="U119" s="28" t="n"/>
      <c r="V119" s="28" t="n"/>
    </row>
    <row r="120">
      <c r="A120" s="28" t="n"/>
      <c r="B120" s="28" t="n"/>
      <c r="C120" s="28" t="n"/>
      <c r="D120" s="28" t="n"/>
      <c r="E120" s="28" t="n"/>
      <c r="F120" s="28" t="n"/>
      <c r="G120" s="29" t="n"/>
      <c r="H120" s="30" t="n"/>
      <c r="I120" s="28" t="n"/>
      <c r="J120" s="22">
        <f>IF(OR(H120="",I120=""),"",IF(I120="Single Pay",0,H120*IFERROR(INDEX(Lists!$D$2:$D$6,MATCH(I120,Lists!$C$2:$C$6,0)),0)))</f>
        <v/>
      </c>
      <c r="K120" s="31" t="n"/>
      <c r="L120" s="31" t="n"/>
      <c r="M120" s="32" t="n"/>
      <c r="N120" s="25">
        <f>IF(OR(L120="",M120=""),"",EDATE(L120,12*M120))</f>
        <v/>
      </c>
      <c r="O120" s="28" t="n"/>
      <c r="P120" s="32" t="n"/>
      <c r="Q120" s="31" t="n"/>
      <c r="R120" s="26">
        <f>IF(Q120="","",Q120-TODAY())</f>
        <v/>
      </c>
      <c r="S120" s="22">
        <f>IF(A120="","",SUMIFS(Payments!$C$2:$C$301,Payments!$B$2:$B$301,A120))</f>
        <v/>
      </c>
      <c r="T120" s="27">
        <f>IF(A120="","",SUMIFS(Beneficiaries!$E$2:$E$301,Beneficiaries!$A$2:$A$301,A120,Beneficiaries!$D$2:$D$301,"Primary"))</f>
        <v/>
      </c>
      <c r="U120" s="28" t="n"/>
      <c r="V120" s="28" t="n"/>
    </row>
    <row r="121">
      <c r="A121" s="28" t="n"/>
      <c r="B121" s="28" t="n"/>
      <c r="C121" s="28" t="n"/>
      <c r="D121" s="28" t="n"/>
      <c r="E121" s="28" t="n"/>
      <c r="F121" s="28" t="n"/>
      <c r="G121" s="29" t="n"/>
      <c r="H121" s="30" t="n"/>
      <c r="I121" s="28" t="n"/>
      <c r="J121" s="22">
        <f>IF(OR(H121="",I121=""),"",IF(I121="Single Pay",0,H121*IFERROR(INDEX(Lists!$D$2:$D$6,MATCH(I121,Lists!$C$2:$C$6,0)),0)))</f>
        <v/>
      </c>
      <c r="K121" s="31" t="n"/>
      <c r="L121" s="31" t="n"/>
      <c r="M121" s="32" t="n"/>
      <c r="N121" s="25">
        <f>IF(OR(L121="",M121=""),"",EDATE(L121,12*M121))</f>
        <v/>
      </c>
      <c r="O121" s="28" t="n"/>
      <c r="P121" s="32" t="n"/>
      <c r="Q121" s="31" t="n"/>
      <c r="R121" s="26">
        <f>IF(Q121="","",Q121-TODAY())</f>
        <v/>
      </c>
      <c r="S121" s="22">
        <f>IF(A121="","",SUMIFS(Payments!$C$2:$C$301,Payments!$B$2:$B$301,A121))</f>
        <v/>
      </c>
      <c r="T121" s="27">
        <f>IF(A121="","",SUMIFS(Beneficiaries!$E$2:$E$301,Beneficiaries!$A$2:$A$301,A121,Beneficiaries!$D$2:$D$301,"Primary"))</f>
        <v/>
      </c>
      <c r="U121" s="28" t="n"/>
      <c r="V121" s="28" t="n"/>
    </row>
    <row r="122">
      <c r="A122" s="28" t="n"/>
      <c r="B122" s="28" t="n"/>
      <c r="C122" s="28" t="n"/>
      <c r="D122" s="28" t="n"/>
      <c r="E122" s="28" t="n"/>
      <c r="F122" s="28" t="n"/>
      <c r="G122" s="29" t="n"/>
      <c r="H122" s="30" t="n"/>
      <c r="I122" s="28" t="n"/>
      <c r="J122" s="22">
        <f>IF(OR(H122="",I122=""),"",IF(I122="Single Pay",0,H122*IFERROR(INDEX(Lists!$D$2:$D$6,MATCH(I122,Lists!$C$2:$C$6,0)),0)))</f>
        <v/>
      </c>
      <c r="K122" s="31" t="n"/>
      <c r="L122" s="31" t="n"/>
      <c r="M122" s="32" t="n"/>
      <c r="N122" s="25">
        <f>IF(OR(L122="",M122=""),"",EDATE(L122,12*M122))</f>
        <v/>
      </c>
      <c r="O122" s="28" t="n"/>
      <c r="P122" s="32" t="n"/>
      <c r="Q122" s="31" t="n"/>
      <c r="R122" s="26">
        <f>IF(Q122="","",Q122-TODAY())</f>
        <v/>
      </c>
      <c r="S122" s="22">
        <f>IF(A122="","",SUMIFS(Payments!$C$2:$C$301,Payments!$B$2:$B$301,A122))</f>
        <v/>
      </c>
      <c r="T122" s="27">
        <f>IF(A122="","",SUMIFS(Beneficiaries!$E$2:$E$301,Beneficiaries!$A$2:$A$301,A122,Beneficiaries!$D$2:$D$301,"Primary"))</f>
        <v/>
      </c>
      <c r="U122" s="28" t="n"/>
      <c r="V122" s="28" t="n"/>
    </row>
    <row r="123">
      <c r="A123" s="28" t="n"/>
      <c r="B123" s="28" t="n"/>
      <c r="C123" s="28" t="n"/>
      <c r="D123" s="28" t="n"/>
      <c r="E123" s="28" t="n"/>
      <c r="F123" s="28" t="n"/>
      <c r="G123" s="29" t="n"/>
      <c r="H123" s="30" t="n"/>
      <c r="I123" s="28" t="n"/>
      <c r="J123" s="22">
        <f>IF(OR(H123="",I123=""),"",IF(I123="Single Pay",0,H123*IFERROR(INDEX(Lists!$D$2:$D$6,MATCH(I123,Lists!$C$2:$C$6,0)),0)))</f>
        <v/>
      </c>
      <c r="K123" s="31" t="n"/>
      <c r="L123" s="31" t="n"/>
      <c r="M123" s="32" t="n"/>
      <c r="N123" s="25">
        <f>IF(OR(L123="",M123=""),"",EDATE(L123,12*M123))</f>
        <v/>
      </c>
      <c r="O123" s="28" t="n"/>
      <c r="P123" s="32" t="n"/>
      <c r="Q123" s="31" t="n"/>
      <c r="R123" s="26">
        <f>IF(Q123="","",Q123-TODAY())</f>
        <v/>
      </c>
      <c r="S123" s="22">
        <f>IF(A123="","",SUMIFS(Payments!$C$2:$C$301,Payments!$B$2:$B$301,A123))</f>
        <v/>
      </c>
      <c r="T123" s="27">
        <f>IF(A123="","",SUMIFS(Beneficiaries!$E$2:$E$301,Beneficiaries!$A$2:$A$301,A123,Beneficiaries!$D$2:$D$301,"Primary"))</f>
        <v/>
      </c>
      <c r="U123" s="28" t="n"/>
      <c r="V123" s="28" t="n"/>
    </row>
    <row r="124">
      <c r="A124" s="28" t="n"/>
      <c r="B124" s="28" t="n"/>
      <c r="C124" s="28" t="n"/>
      <c r="D124" s="28" t="n"/>
      <c r="E124" s="28" t="n"/>
      <c r="F124" s="28" t="n"/>
      <c r="G124" s="29" t="n"/>
      <c r="H124" s="30" t="n"/>
      <c r="I124" s="28" t="n"/>
      <c r="J124" s="22">
        <f>IF(OR(H124="",I124=""),"",IF(I124="Single Pay",0,H124*IFERROR(INDEX(Lists!$D$2:$D$6,MATCH(I124,Lists!$C$2:$C$6,0)),0)))</f>
        <v/>
      </c>
      <c r="K124" s="31" t="n"/>
      <c r="L124" s="31" t="n"/>
      <c r="M124" s="32" t="n"/>
      <c r="N124" s="25">
        <f>IF(OR(L124="",M124=""),"",EDATE(L124,12*M124))</f>
        <v/>
      </c>
      <c r="O124" s="28" t="n"/>
      <c r="P124" s="32" t="n"/>
      <c r="Q124" s="31" t="n"/>
      <c r="R124" s="26">
        <f>IF(Q124="","",Q124-TODAY())</f>
        <v/>
      </c>
      <c r="S124" s="22">
        <f>IF(A124="","",SUMIFS(Payments!$C$2:$C$301,Payments!$B$2:$B$301,A124))</f>
        <v/>
      </c>
      <c r="T124" s="27">
        <f>IF(A124="","",SUMIFS(Beneficiaries!$E$2:$E$301,Beneficiaries!$A$2:$A$301,A124,Beneficiaries!$D$2:$D$301,"Primary"))</f>
        <v/>
      </c>
      <c r="U124" s="28" t="n"/>
      <c r="V124" s="28" t="n"/>
    </row>
    <row r="125">
      <c r="A125" s="28" t="n"/>
      <c r="B125" s="28" t="n"/>
      <c r="C125" s="28" t="n"/>
      <c r="D125" s="28" t="n"/>
      <c r="E125" s="28" t="n"/>
      <c r="F125" s="28" t="n"/>
      <c r="G125" s="29" t="n"/>
      <c r="H125" s="30" t="n"/>
      <c r="I125" s="28" t="n"/>
      <c r="J125" s="22">
        <f>IF(OR(H125="",I125=""),"",IF(I125="Single Pay",0,H125*IFERROR(INDEX(Lists!$D$2:$D$6,MATCH(I125,Lists!$C$2:$C$6,0)),0)))</f>
        <v/>
      </c>
      <c r="K125" s="31" t="n"/>
      <c r="L125" s="31" t="n"/>
      <c r="M125" s="32" t="n"/>
      <c r="N125" s="25">
        <f>IF(OR(L125="",M125=""),"",EDATE(L125,12*M125))</f>
        <v/>
      </c>
      <c r="O125" s="28" t="n"/>
      <c r="P125" s="32" t="n"/>
      <c r="Q125" s="31" t="n"/>
      <c r="R125" s="26">
        <f>IF(Q125="","",Q125-TODAY())</f>
        <v/>
      </c>
      <c r="S125" s="22">
        <f>IF(A125="","",SUMIFS(Payments!$C$2:$C$301,Payments!$B$2:$B$301,A125))</f>
        <v/>
      </c>
      <c r="T125" s="27">
        <f>IF(A125="","",SUMIFS(Beneficiaries!$E$2:$E$301,Beneficiaries!$A$2:$A$301,A125,Beneficiaries!$D$2:$D$301,"Primary"))</f>
        <v/>
      </c>
      <c r="U125" s="28" t="n"/>
      <c r="V125" s="28" t="n"/>
    </row>
    <row r="126">
      <c r="A126" s="28" t="n"/>
      <c r="B126" s="28" t="n"/>
      <c r="C126" s="28" t="n"/>
      <c r="D126" s="28" t="n"/>
      <c r="E126" s="28" t="n"/>
      <c r="F126" s="28" t="n"/>
      <c r="G126" s="29" t="n"/>
      <c r="H126" s="30" t="n"/>
      <c r="I126" s="28" t="n"/>
      <c r="J126" s="22">
        <f>IF(OR(H126="",I126=""),"",IF(I126="Single Pay",0,H126*IFERROR(INDEX(Lists!$D$2:$D$6,MATCH(I126,Lists!$C$2:$C$6,0)),0)))</f>
        <v/>
      </c>
      <c r="K126" s="31" t="n"/>
      <c r="L126" s="31" t="n"/>
      <c r="M126" s="32" t="n"/>
      <c r="N126" s="25">
        <f>IF(OR(L126="",M126=""),"",EDATE(L126,12*M126))</f>
        <v/>
      </c>
      <c r="O126" s="28" t="n"/>
      <c r="P126" s="32" t="n"/>
      <c r="Q126" s="31" t="n"/>
      <c r="R126" s="26">
        <f>IF(Q126="","",Q126-TODAY())</f>
        <v/>
      </c>
      <c r="S126" s="22">
        <f>IF(A126="","",SUMIFS(Payments!$C$2:$C$301,Payments!$B$2:$B$301,A126))</f>
        <v/>
      </c>
      <c r="T126" s="27">
        <f>IF(A126="","",SUMIFS(Beneficiaries!$E$2:$E$301,Beneficiaries!$A$2:$A$301,A126,Beneficiaries!$D$2:$D$301,"Primary"))</f>
        <v/>
      </c>
      <c r="U126" s="28" t="n"/>
      <c r="V126" s="28" t="n"/>
    </row>
    <row r="127">
      <c r="A127" s="28" t="n"/>
      <c r="B127" s="28" t="n"/>
      <c r="C127" s="28" t="n"/>
      <c r="D127" s="28" t="n"/>
      <c r="E127" s="28" t="n"/>
      <c r="F127" s="28" t="n"/>
      <c r="G127" s="29" t="n"/>
      <c r="H127" s="30" t="n"/>
      <c r="I127" s="28" t="n"/>
      <c r="J127" s="22">
        <f>IF(OR(H127="",I127=""),"",IF(I127="Single Pay",0,H127*IFERROR(INDEX(Lists!$D$2:$D$6,MATCH(I127,Lists!$C$2:$C$6,0)),0)))</f>
        <v/>
      </c>
      <c r="K127" s="31" t="n"/>
      <c r="L127" s="31" t="n"/>
      <c r="M127" s="32" t="n"/>
      <c r="N127" s="25">
        <f>IF(OR(L127="",M127=""),"",EDATE(L127,12*M127))</f>
        <v/>
      </c>
      <c r="O127" s="28" t="n"/>
      <c r="P127" s="32" t="n"/>
      <c r="Q127" s="31" t="n"/>
      <c r="R127" s="26">
        <f>IF(Q127="","",Q127-TODAY())</f>
        <v/>
      </c>
      <c r="S127" s="22">
        <f>IF(A127="","",SUMIFS(Payments!$C$2:$C$301,Payments!$B$2:$B$301,A127))</f>
        <v/>
      </c>
      <c r="T127" s="27">
        <f>IF(A127="","",SUMIFS(Beneficiaries!$E$2:$E$301,Beneficiaries!$A$2:$A$301,A127,Beneficiaries!$D$2:$D$301,"Primary"))</f>
        <v/>
      </c>
      <c r="U127" s="28" t="n"/>
      <c r="V127" s="28" t="n"/>
    </row>
    <row r="128">
      <c r="A128" s="28" t="n"/>
      <c r="B128" s="28" t="n"/>
      <c r="C128" s="28" t="n"/>
      <c r="D128" s="28" t="n"/>
      <c r="E128" s="28" t="n"/>
      <c r="F128" s="28" t="n"/>
      <c r="G128" s="29" t="n"/>
      <c r="H128" s="30" t="n"/>
      <c r="I128" s="28" t="n"/>
      <c r="J128" s="22">
        <f>IF(OR(H128="",I128=""),"",IF(I128="Single Pay",0,H128*IFERROR(INDEX(Lists!$D$2:$D$6,MATCH(I128,Lists!$C$2:$C$6,0)),0)))</f>
        <v/>
      </c>
      <c r="K128" s="31" t="n"/>
      <c r="L128" s="31" t="n"/>
      <c r="M128" s="32" t="n"/>
      <c r="N128" s="25">
        <f>IF(OR(L128="",M128=""),"",EDATE(L128,12*M128))</f>
        <v/>
      </c>
      <c r="O128" s="28" t="n"/>
      <c r="P128" s="32" t="n"/>
      <c r="Q128" s="31" t="n"/>
      <c r="R128" s="26">
        <f>IF(Q128="","",Q128-TODAY())</f>
        <v/>
      </c>
      <c r="S128" s="22">
        <f>IF(A128="","",SUMIFS(Payments!$C$2:$C$301,Payments!$B$2:$B$301,A128))</f>
        <v/>
      </c>
      <c r="T128" s="27">
        <f>IF(A128="","",SUMIFS(Beneficiaries!$E$2:$E$301,Beneficiaries!$A$2:$A$301,A128,Beneficiaries!$D$2:$D$301,"Primary"))</f>
        <v/>
      </c>
      <c r="U128" s="28" t="n"/>
      <c r="V128" s="28" t="n"/>
    </row>
    <row r="129">
      <c r="A129" s="28" t="n"/>
      <c r="B129" s="28" t="n"/>
      <c r="C129" s="28" t="n"/>
      <c r="D129" s="28" t="n"/>
      <c r="E129" s="28" t="n"/>
      <c r="F129" s="28" t="n"/>
      <c r="G129" s="29" t="n"/>
      <c r="H129" s="30" t="n"/>
      <c r="I129" s="28" t="n"/>
      <c r="J129" s="22">
        <f>IF(OR(H129="",I129=""),"",IF(I129="Single Pay",0,H129*IFERROR(INDEX(Lists!$D$2:$D$6,MATCH(I129,Lists!$C$2:$C$6,0)),0)))</f>
        <v/>
      </c>
      <c r="K129" s="31" t="n"/>
      <c r="L129" s="31" t="n"/>
      <c r="M129" s="32" t="n"/>
      <c r="N129" s="25">
        <f>IF(OR(L129="",M129=""),"",EDATE(L129,12*M129))</f>
        <v/>
      </c>
      <c r="O129" s="28" t="n"/>
      <c r="P129" s="32" t="n"/>
      <c r="Q129" s="31" t="n"/>
      <c r="R129" s="26">
        <f>IF(Q129="","",Q129-TODAY())</f>
        <v/>
      </c>
      <c r="S129" s="22">
        <f>IF(A129="","",SUMIFS(Payments!$C$2:$C$301,Payments!$B$2:$B$301,A129))</f>
        <v/>
      </c>
      <c r="T129" s="27">
        <f>IF(A129="","",SUMIFS(Beneficiaries!$E$2:$E$301,Beneficiaries!$A$2:$A$301,A129,Beneficiaries!$D$2:$D$301,"Primary"))</f>
        <v/>
      </c>
      <c r="U129" s="28" t="n"/>
      <c r="V129" s="28" t="n"/>
    </row>
    <row r="130">
      <c r="A130" s="28" t="n"/>
      <c r="B130" s="28" t="n"/>
      <c r="C130" s="28" t="n"/>
      <c r="D130" s="28" t="n"/>
      <c r="E130" s="28" t="n"/>
      <c r="F130" s="28" t="n"/>
      <c r="G130" s="29" t="n"/>
      <c r="H130" s="30" t="n"/>
      <c r="I130" s="28" t="n"/>
      <c r="J130" s="22">
        <f>IF(OR(H130="",I130=""),"",IF(I130="Single Pay",0,H130*IFERROR(INDEX(Lists!$D$2:$D$6,MATCH(I130,Lists!$C$2:$C$6,0)),0)))</f>
        <v/>
      </c>
      <c r="K130" s="31" t="n"/>
      <c r="L130" s="31" t="n"/>
      <c r="M130" s="32" t="n"/>
      <c r="N130" s="25">
        <f>IF(OR(L130="",M130=""),"",EDATE(L130,12*M130))</f>
        <v/>
      </c>
      <c r="O130" s="28" t="n"/>
      <c r="P130" s="32" t="n"/>
      <c r="Q130" s="31" t="n"/>
      <c r="R130" s="26">
        <f>IF(Q130="","",Q130-TODAY())</f>
        <v/>
      </c>
      <c r="S130" s="22">
        <f>IF(A130="","",SUMIFS(Payments!$C$2:$C$301,Payments!$B$2:$B$301,A130))</f>
        <v/>
      </c>
      <c r="T130" s="27">
        <f>IF(A130="","",SUMIFS(Beneficiaries!$E$2:$E$301,Beneficiaries!$A$2:$A$301,A130,Beneficiaries!$D$2:$D$301,"Primary"))</f>
        <v/>
      </c>
      <c r="U130" s="28" t="n"/>
      <c r="V130" s="28" t="n"/>
    </row>
    <row r="131">
      <c r="A131" s="28" t="n"/>
      <c r="B131" s="28" t="n"/>
      <c r="C131" s="28" t="n"/>
      <c r="D131" s="28" t="n"/>
      <c r="E131" s="28" t="n"/>
      <c r="F131" s="28" t="n"/>
      <c r="G131" s="29" t="n"/>
      <c r="H131" s="30" t="n"/>
      <c r="I131" s="28" t="n"/>
      <c r="J131" s="22">
        <f>IF(OR(H131="",I131=""),"",IF(I131="Single Pay",0,H131*IFERROR(INDEX(Lists!$D$2:$D$6,MATCH(I131,Lists!$C$2:$C$6,0)),0)))</f>
        <v/>
      </c>
      <c r="K131" s="31" t="n"/>
      <c r="L131" s="31" t="n"/>
      <c r="M131" s="32" t="n"/>
      <c r="N131" s="25">
        <f>IF(OR(L131="",M131=""),"",EDATE(L131,12*M131))</f>
        <v/>
      </c>
      <c r="O131" s="28" t="n"/>
      <c r="P131" s="32" t="n"/>
      <c r="Q131" s="31" t="n"/>
      <c r="R131" s="26">
        <f>IF(Q131="","",Q131-TODAY())</f>
        <v/>
      </c>
      <c r="S131" s="22">
        <f>IF(A131="","",SUMIFS(Payments!$C$2:$C$301,Payments!$B$2:$B$301,A131))</f>
        <v/>
      </c>
      <c r="T131" s="27">
        <f>IF(A131="","",SUMIFS(Beneficiaries!$E$2:$E$301,Beneficiaries!$A$2:$A$301,A131,Beneficiaries!$D$2:$D$301,"Primary"))</f>
        <v/>
      </c>
      <c r="U131" s="28" t="n"/>
      <c r="V131" s="28" t="n"/>
    </row>
    <row r="132">
      <c r="A132" s="28" t="n"/>
      <c r="B132" s="28" t="n"/>
      <c r="C132" s="28" t="n"/>
      <c r="D132" s="28" t="n"/>
      <c r="E132" s="28" t="n"/>
      <c r="F132" s="28" t="n"/>
      <c r="G132" s="29" t="n"/>
      <c r="H132" s="30" t="n"/>
      <c r="I132" s="28" t="n"/>
      <c r="J132" s="22">
        <f>IF(OR(H132="",I132=""),"",IF(I132="Single Pay",0,H132*IFERROR(INDEX(Lists!$D$2:$D$6,MATCH(I132,Lists!$C$2:$C$6,0)),0)))</f>
        <v/>
      </c>
      <c r="K132" s="31" t="n"/>
      <c r="L132" s="31" t="n"/>
      <c r="M132" s="32" t="n"/>
      <c r="N132" s="25">
        <f>IF(OR(L132="",M132=""),"",EDATE(L132,12*M132))</f>
        <v/>
      </c>
      <c r="O132" s="28" t="n"/>
      <c r="P132" s="32" t="n"/>
      <c r="Q132" s="31" t="n"/>
      <c r="R132" s="26">
        <f>IF(Q132="","",Q132-TODAY())</f>
        <v/>
      </c>
      <c r="S132" s="22">
        <f>IF(A132="","",SUMIFS(Payments!$C$2:$C$301,Payments!$B$2:$B$301,A132))</f>
        <v/>
      </c>
      <c r="T132" s="27">
        <f>IF(A132="","",SUMIFS(Beneficiaries!$E$2:$E$301,Beneficiaries!$A$2:$A$301,A132,Beneficiaries!$D$2:$D$301,"Primary"))</f>
        <v/>
      </c>
      <c r="U132" s="28" t="n"/>
      <c r="V132" s="28" t="n"/>
    </row>
    <row r="133">
      <c r="A133" s="28" t="n"/>
      <c r="B133" s="28" t="n"/>
      <c r="C133" s="28" t="n"/>
      <c r="D133" s="28" t="n"/>
      <c r="E133" s="28" t="n"/>
      <c r="F133" s="28" t="n"/>
      <c r="G133" s="29" t="n"/>
      <c r="H133" s="30" t="n"/>
      <c r="I133" s="28" t="n"/>
      <c r="J133" s="22">
        <f>IF(OR(H133="",I133=""),"",IF(I133="Single Pay",0,H133*IFERROR(INDEX(Lists!$D$2:$D$6,MATCH(I133,Lists!$C$2:$C$6,0)),0)))</f>
        <v/>
      </c>
      <c r="K133" s="31" t="n"/>
      <c r="L133" s="31" t="n"/>
      <c r="M133" s="32" t="n"/>
      <c r="N133" s="25">
        <f>IF(OR(L133="",M133=""),"",EDATE(L133,12*M133))</f>
        <v/>
      </c>
      <c r="O133" s="28" t="n"/>
      <c r="P133" s="32" t="n"/>
      <c r="Q133" s="31" t="n"/>
      <c r="R133" s="26">
        <f>IF(Q133="","",Q133-TODAY())</f>
        <v/>
      </c>
      <c r="S133" s="22">
        <f>IF(A133="","",SUMIFS(Payments!$C$2:$C$301,Payments!$B$2:$B$301,A133))</f>
        <v/>
      </c>
      <c r="T133" s="27">
        <f>IF(A133="","",SUMIFS(Beneficiaries!$E$2:$E$301,Beneficiaries!$A$2:$A$301,A133,Beneficiaries!$D$2:$D$301,"Primary"))</f>
        <v/>
      </c>
      <c r="U133" s="28" t="n"/>
      <c r="V133" s="28" t="n"/>
    </row>
    <row r="134">
      <c r="A134" s="28" t="n"/>
      <c r="B134" s="28" t="n"/>
      <c r="C134" s="28" t="n"/>
      <c r="D134" s="28" t="n"/>
      <c r="E134" s="28" t="n"/>
      <c r="F134" s="28" t="n"/>
      <c r="G134" s="29" t="n"/>
      <c r="H134" s="30" t="n"/>
      <c r="I134" s="28" t="n"/>
      <c r="J134" s="22">
        <f>IF(OR(H134="",I134=""),"",IF(I134="Single Pay",0,H134*IFERROR(INDEX(Lists!$D$2:$D$6,MATCH(I134,Lists!$C$2:$C$6,0)),0)))</f>
        <v/>
      </c>
      <c r="K134" s="31" t="n"/>
      <c r="L134" s="31" t="n"/>
      <c r="M134" s="32" t="n"/>
      <c r="N134" s="25">
        <f>IF(OR(L134="",M134=""),"",EDATE(L134,12*M134))</f>
        <v/>
      </c>
      <c r="O134" s="28" t="n"/>
      <c r="P134" s="32" t="n"/>
      <c r="Q134" s="31" t="n"/>
      <c r="R134" s="26">
        <f>IF(Q134="","",Q134-TODAY())</f>
        <v/>
      </c>
      <c r="S134" s="22">
        <f>IF(A134="","",SUMIFS(Payments!$C$2:$C$301,Payments!$B$2:$B$301,A134))</f>
        <v/>
      </c>
      <c r="T134" s="27">
        <f>IF(A134="","",SUMIFS(Beneficiaries!$E$2:$E$301,Beneficiaries!$A$2:$A$301,A134,Beneficiaries!$D$2:$D$301,"Primary"))</f>
        <v/>
      </c>
      <c r="U134" s="28" t="n"/>
      <c r="V134" s="28" t="n"/>
    </row>
    <row r="135">
      <c r="A135" s="28" t="n"/>
      <c r="B135" s="28" t="n"/>
      <c r="C135" s="28" t="n"/>
      <c r="D135" s="28" t="n"/>
      <c r="E135" s="28" t="n"/>
      <c r="F135" s="28" t="n"/>
      <c r="G135" s="29" t="n"/>
      <c r="H135" s="30" t="n"/>
      <c r="I135" s="28" t="n"/>
      <c r="J135" s="22">
        <f>IF(OR(H135="",I135=""),"",IF(I135="Single Pay",0,H135*IFERROR(INDEX(Lists!$D$2:$D$6,MATCH(I135,Lists!$C$2:$C$6,0)),0)))</f>
        <v/>
      </c>
      <c r="K135" s="31" t="n"/>
      <c r="L135" s="31" t="n"/>
      <c r="M135" s="32" t="n"/>
      <c r="N135" s="25">
        <f>IF(OR(L135="",M135=""),"",EDATE(L135,12*M135))</f>
        <v/>
      </c>
      <c r="O135" s="28" t="n"/>
      <c r="P135" s="32" t="n"/>
      <c r="Q135" s="31" t="n"/>
      <c r="R135" s="26">
        <f>IF(Q135="","",Q135-TODAY())</f>
        <v/>
      </c>
      <c r="S135" s="22">
        <f>IF(A135="","",SUMIFS(Payments!$C$2:$C$301,Payments!$B$2:$B$301,A135))</f>
        <v/>
      </c>
      <c r="T135" s="27">
        <f>IF(A135="","",SUMIFS(Beneficiaries!$E$2:$E$301,Beneficiaries!$A$2:$A$301,A135,Beneficiaries!$D$2:$D$301,"Primary"))</f>
        <v/>
      </c>
      <c r="U135" s="28" t="n"/>
      <c r="V135" s="28" t="n"/>
    </row>
    <row r="136">
      <c r="A136" s="28" t="n"/>
      <c r="B136" s="28" t="n"/>
      <c r="C136" s="28" t="n"/>
      <c r="D136" s="28" t="n"/>
      <c r="E136" s="28" t="n"/>
      <c r="F136" s="28" t="n"/>
      <c r="G136" s="29" t="n"/>
      <c r="H136" s="30" t="n"/>
      <c r="I136" s="28" t="n"/>
      <c r="J136" s="22">
        <f>IF(OR(H136="",I136=""),"",IF(I136="Single Pay",0,H136*IFERROR(INDEX(Lists!$D$2:$D$6,MATCH(I136,Lists!$C$2:$C$6,0)),0)))</f>
        <v/>
      </c>
      <c r="K136" s="31" t="n"/>
      <c r="L136" s="31" t="n"/>
      <c r="M136" s="32" t="n"/>
      <c r="N136" s="25">
        <f>IF(OR(L136="",M136=""),"",EDATE(L136,12*M136))</f>
        <v/>
      </c>
      <c r="O136" s="28" t="n"/>
      <c r="P136" s="32" t="n"/>
      <c r="Q136" s="31" t="n"/>
      <c r="R136" s="26">
        <f>IF(Q136="","",Q136-TODAY())</f>
        <v/>
      </c>
      <c r="S136" s="22">
        <f>IF(A136="","",SUMIFS(Payments!$C$2:$C$301,Payments!$B$2:$B$301,A136))</f>
        <v/>
      </c>
      <c r="T136" s="27">
        <f>IF(A136="","",SUMIFS(Beneficiaries!$E$2:$E$301,Beneficiaries!$A$2:$A$301,A136,Beneficiaries!$D$2:$D$301,"Primary"))</f>
        <v/>
      </c>
      <c r="U136" s="28" t="n"/>
      <c r="V136" s="28" t="n"/>
    </row>
    <row r="137">
      <c r="A137" s="28" t="n"/>
      <c r="B137" s="28" t="n"/>
      <c r="C137" s="28" t="n"/>
      <c r="D137" s="28" t="n"/>
      <c r="E137" s="28" t="n"/>
      <c r="F137" s="28" t="n"/>
      <c r="G137" s="29" t="n"/>
      <c r="H137" s="30" t="n"/>
      <c r="I137" s="28" t="n"/>
      <c r="J137" s="22">
        <f>IF(OR(H137="",I137=""),"",IF(I137="Single Pay",0,H137*IFERROR(INDEX(Lists!$D$2:$D$6,MATCH(I137,Lists!$C$2:$C$6,0)),0)))</f>
        <v/>
      </c>
      <c r="K137" s="31" t="n"/>
      <c r="L137" s="31" t="n"/>
      <c r="M137" s="32" t="n"/>
      <c r="N137" s="25">
        <f>IF(OR(L137="",M137=""),"",EDATE(L137,12*M137))</f>
        <v/>
      </c>
      <c r="O137" s="28" t="n"/>
      <c r="P137" s="32" t="n"/>
      <c r="Q137" s="31" t="n"/>
      <c r="R137" s="26">
        <f>IF(Q137="","",Q137-TODAY())</f>
        <v/>
      </c>
      <c r="S137" s="22">
        <f>IF(A137="","",SUMIFS(Payments!$C$2:$C$301,Payments!$B$2:$B$301,A137))</f>
        <v/>
      </c>
      <c r="T137" s="27">
        <f>IF(A137="","",SUMIFS(Beneficiaries!$E$2:$E$301,Beneficiaries!$A$2:$A$301,A137,Beneficiaries!$D$2:$D$301,"Primary"))</f>
        <v/>
      </c>
      <c r="U137" s="28" t="n"/>
      <c r="V137" s="28" t="n"/>
    </row>
    <row r="138">
      <c r="A138" s="28" t="n"/>
      <c r="B138" s="28" t="n"/>
      <c r="C138" s="28" t="n"/>
      <c r="D138" s="28" t="n"/>
      <c r="E138" s="28" t="n"/>
      <c r="F138" s="28" t="n"/>
      <c r="G138" s="29" t="n"/>
      <c r="H138" s="30" t="n"/>
      <c r="I138" s="28" t="n"/>
      <c r="J138" s="22">
        <f>IF(OR(H138="",I138=""),"",IF(I138="Single Pay",0,H138*IFERROR(INDEX(Lists!$D$2:$D$6,MATCH(I138,Lists!$C$2:$C$6,0)),0)))</f>
        <v/>
      </c>
      <c r="K138" s="31" t="n"/>
      <c r="L138" s="31" t="n"/>
      <c r="M138" s="32" t="n"/>
      <c r="N138" s="25">
        <f>IF(OR(L138="",M138=""),"",EDATE(L138,12*M138))</f>
        <v/>
      </c>
      <c r="O138" s="28" t="n"/>
      <c r="P138" s="32" t="n"/>
      <c r="Q138" s="31" t="n"/>
      <c r="R138" s="26">
        <f>IF(Q138="","",Q138-TODAY())</f>
        <v/>
      </c>
      <c r="S138" s="22">
        <f>IF(A138="","",SUMIFS(Payments!$C$2:$C$301,Payments!$B$2:$B$301,A138))</f>
        <v/>
      </c>
      <c r="T138" s="27">
        <f>IF(A138="","",SUMIFS(Beneficiaries!$E$2:$E$301,Beneficiaries!$A$2:$A$301,A138,Beneficiaries!$D$2:$D$301,"Primary"))</f>
        <v/>
      </c>
      <c r="U138" s="28" t="n"/>
      <c r="V138" s="28" t="n"/>
    </row>
    <row r="139">
      <c r="A139" s="28" t="n"/>
      <c r="B139" s="28" t="n"/>
      <c r="C139" s="28" t="n"/>
      <c r="D139" s="28" t="n"/>
      <c r="E139" s="28" t="n"/>
      <c r="F139" s="28" t="n"/>
      <c r="G139" s="29" t="n"/>
      <c r="H139" s="30" t="n"/>
      <c r="I139" s="28" t="n"/>
      <c r="J139" s="22">
        <f>IF(OR(H139="",I139=""),"",IF(I139="Single Pay",0,H139*IFERROR(INDEX(Lists!$D$2:$D$6,MATCH(I139,Lists!$C$2:$C$6,0)),0)))</f>
        <v/>
      </c>
      <c r="K139" s="31" t="n"/>
      <c r="L139" s="31" t="n"/>
      <c r="M139" s="32" t="n"/>
      <c r="N139" s="25">
        <f>IF(OR(L139="",M139=""),"",EDATE(L139,12*M139))</f>
        <v/>
      </c>
      <c r="O139" s="28" t="n"/>
      <c r="P139" s="32" t="n"/>
      <c r="Q139" s="31" t="n"/>
      <c r="R139" s="26">
        <f>IF(Q139="","",Q139-TODAY())</f>
        <v/>
      </c>
      <c r="S139" s="22">
        <f>IF(A139="","",SUMIFS(Payments!$C$2:$C$301,Payments!$B$2:$B$301,A139))</f>
        <v/>
      </c>
      <c r="T139" s="27">
        <f>IF(A139="","",SUMIFS(Beneficiaries!$E$2:$E$301,Beneficiaries!$A$2:$A$301,A139,Beneficiaries!$D$2:$D$301,"Primary"))</f>
        <v/>
      </c>
      <c r="U139" s="28" t="n"/>
      <c r="V139" s="28" t="n"/>
    </row>
    <row r="140">
      <c r="A140" s="28" t="n"/>
      <c r="B140" s="28" t="n"/>
      <c r="C140" s="28" t="n"/>
      <c r="D140" s="28" t="n"/>
      <c r="E140" s="28" t="n"/>
      <c r="F140" s="28" t="n"/>
      <c r="G140" s="29" t="n"/>
      <c r="H140" s="30" t="n"/>
      <c r="I140" s="28" t="n"/>
      <c r="J140" s="22">
        <f>IF(OR(H140="",I140=""),"",IF(I140="Single Pay",0,H140*IFERROR(INDEX(Lists!$D$2:$D$6,MATCH(I140,Lists!$C$2:$C$6,0)),0)))</f>
        <v/>
      </c>
      <c r="K140" s="31" t="n"/>
      <c r="L140" s="31" t="n"/>
      <c r="M140" s="32" t="n"/>
      <c r="N140" s="25">
        <f>IF(OR(L140="",M140=""),"",EDATE(L140,12*M140))</f>
        <v/>
      </c>
      <c r="O140" s="28" t="n"/>
      <c r="P140" s="32" t="n"/>
      <c r="Q140" s="31" t="n"/>
      <c r="R140" s="26">
        <f>IF(Q140="","",Q140-TODAY())</f>
        <v/>
      </c>
      <c r="S140" s="22">
        <f>IF(A140="","",SUMIFS(Payments!$C$2:$C$301,Payments!$B$2:$B$301,A140))</f>
        <v/>
      </c>
      <c r="T140" s="27">
        <f>IF(A140="","",SUMIFS(Beneficiaries!$E$2:$E$301,Beneficiaries!$A$2:$A$301,A140,Beneficiaries!$D$2:$D$301,"Primary"))</f>
        <v/>
      </c>
      <c r="U140" s="28" t="n"/>
      <c r="V140" s="28" t="n"/>
    </row>
    <row r="141">
      <c r="A141" s="28" t="n"/>
      <c r="B141" s="28" t="n"/>
      <c r="C141" s="28" t="n"/>
      <c r="D141" s="28" t="n"/>
      <c r="E141" s="28" t="n"/>
      <c r="F141" s="28" t="n"/>
      <c r="G141" s="29" t="n"/>
      <c r="H141" s="30" t="n"/>
      <c r="I141" s="28" t="n"/>
      <c r="J141" s="22">
        <f>IF(OR(H141="",I141=""),"",IF(I141="Single Pay",0,H141*IFERROR(INDEX(Lists!$D$2:$D$6,MATCH(I141,Lists!$C$2:$C$6,0)),0)))</f>
        <v/>
      </c>
      <c r="K141" s="31" t="n"/>
      <c r="L141" s="31" t="n"/>
      <c r="M141" s="32" t="n"/>
      <c r="N141" s="25">
        <f>IF(OR(L141="",M141=""),"",EDATE(L141,12*M141))</f>
        <v/>
      </c>
      <c r="O141" s="28" t="n"/>
      <c r="P141" s="32" t="n"/>
      <c r="Q141" s="31" t="n"/>
      <c r="R141" s="26">
        <f>IF(Q141="","",Q141-TODAY())</f>
        <v/>
      </c>
      <c r="S141" s="22">
        <f>IF(A141="","",SUMIFS(Payments!$C$2:$C$301,Payments!$B$2:$B$301,A141))</f>
        <v/>
      </c>
      <c r="T141" s="27">
        <f>IF(A141="","",SUMIFS(Beneficiaries!$E$2:$E$301,Beneficiaries!$A$2:$A$301,A141,Beneficiaries!$D$2:$D$301,"Primary"))</f>
        <v/>
      </c>
      <c r="U141" s="28" t="n"/>
      <c r="V141" s="28" t="n"/>
    </row>
    <row r="142">
      <c r="A142" s="28" t="n"/>
      <c r="B142" s="28" t="n"/>
      <c r="C142" s="28" t="n"/>
      <c r="D142" s="28" t="n"/>
      <c r="E142" s="28" t="n"/>
      <c r="F142" s="28" t="n"/>
      <c r="G142" s="29" t="n"/>
      <c r="H142" s="30" t="n"/>
      <c r="I142" s="28" t="n"/>
      <c r="J142" s="22">
        <f>IF(OR(H142="",I142=""),"",IF(I142="Single Pay",0,H142*IFERROR(INDEX(Lists!$D$2:$D$6,MATCH(I142,Lists!$C$2:$C$6,0)),0)))</f>
        <v/>
      </c>
      <c r="K142" s="31" t="n"/>
      <c r="L142" s="31" t="n"/>
      <c r="M142" s="32" t="n"/>
      <c r="N142" s="25">
        <f>IF(OR(L142="",M142=""),"",EDATE(L142,12*M142))</f>
        <v/>
      </c>
      <c r="O142" s="28" t="n"/>
      <c r="P142" s="32" t="n"/>
      <c r="Q142" s="31" t="n"/>
      <c r="R142" s="26">
        <f>IF(Q142="","",Q142-TODAY())</f>
        <v/>
      </c>
      <c r="S142" s="22">
        <f>IF(A142="","",SUMIFS(Payments!$C$2:$C$301,Payments!$B$2:$B$301,A142))</f>
        <v/>
      </c>
      <c r="T142" s="27">
        <f>IF(A142="","",SUMIFS(Beneficiaries!$E$2:$E$301,Beneficiaries!$A$2:$A$301,A142,Beneficiaries!$D$2:$D$301,"Primary"))</f>
        <v/>
      </c>
      <c r="U142" s="28" t="n"/>
      <c r="V142" s="28" t="n"/>
    </row>
    <row r="143">
      <c r="A143" s="28" t="n"/>
      <c r="B143" s="28" t="n"/>
      <c r="C143" s="28" t="n"/>
      <c r="D143" s="28" t="n"/>
      <c r="E143" s="28" t="n"/>
      <c r="F143" s="28" t="n"/>
      <c r="G143" s="29" t="n"/>
      <c r="H143" s="30" t="n"/>
      <c r="I143" s="28" t="n"/>
      <c r="J143" s="22">
        <f>IF(OR(H143="",I143=""),"",IF(I143="Single Pay",0,H143*IFERROR(INDEX(Lists!$D$2:$D$6,MATCH(I143,Lists!$C$2:$C$6,0)),0)))</f>
        <v/>
      </c>
      <c r="K143" s="31" t="n"/>
      <c r="L143" s="31" t="n"/>
      <c r="M143" s="32" t="n"/>
      <c r="N143" s="25">
        <f>IF(OR(L143="",M143=""),"",EDATE(L143,12*M143))</f>
        <v/>
      </c>
      <c r="O143" s="28" t="n"/>
      <c r="P143" s="32" t="n"/>
      <c r="Q143" s="31" t="n"/>
      <c r="R143" s="26">
        <f>IF(Q143="","",Q143-TODAY())</f>
        <v/>
      </c>
      <c r="S143" s="22">
        <f>IF(A143="","",SUMIFS(Payments!$C$2:$C$301,Payments!$B$2:$B$301,A143))</f>
        <v/>
      </c>
      <c r="T143" s="27">
        <f>IF(A143="","",SUMIFS(Beneficiaries!$E$2:$E$301,Beneficiaries!$A$2:$A$301,A143,Beneficiaries!$D$2:$D$301,"Primary"))</f>
        <v/>
      </c>
      <c r="U143" s="28" t="n"/>
      <c r="V143" s="28" t="n"/>
    </row>
    <row r="144">
      <c r="A144" s="28" t="n"/>
      <c r="B144" s="28" t="n"/>
      <c r="C144" s="28" t="n"/>
      <c r="D144" s="28" t="n"/>
      <c r="E144" s="28" t="n"/>
      <c r="F144" s="28" t="n"/>
      <c r="G144" s="29" t="n"/>
      <c r="H144" s="30" t="n"/>
      <c r="I144" s="28" t="n"/>
      <c r="J144" s="22">
        <f>IF(OR(H144="",I144=""),"",IF(I144="Single Pay",0,H144*IFERROR(INDEX(Lists!$D$2:$D$6,MATCH(I144,Lists!$C$2:$C$6,0)),0)))</f>
        <v/>
      </c>
      <c r="K144" s="31" t="n"/>
      <c r="L144" s="31" t="n"/>
      <c r="M144" s="32" t="n"/>
      <c r="N144" s="25">
        <f>IF(OR(L144="",M144=""),"",EDATE(L144,12*M144))</f>
        <v/>
      </c>
      <c r="O144" s="28" t="n"/>
      <c r="P144" s="32" t="n"/>
      <c r="Q144" s="31" t="n"/>
      <c r="R144" s="26">
        <f>IF(Q144="","",Q144-TODAY())</f>
        <v/>
      </c>
      <c r="S144" s="22">
        <f>IF(A144="","",SUMIFS(Payments!$C$2:$C$301,Payments!$B$2:$B$301,A144))</f>
        <v/>
      </c>
      <c r="T144" s="27">
        <f>IF(A144="","",SUMIFS(Beneficiaries!$E$2:$E$301,Beneficiaries!$A$2:$A$301,A144,Beneficiaries!$D$2:$D$301,"Primary"))</f>
        <v/>
      </c>
      <c r="U144" s="28" t="n"/>
      <c r="V144" s="28" t="n"/>
    </row>
    <row r="145">
      <c r="A145" s="28" t="n"/>
      <c r="B145" s="28" t="n"/>
      <c r="C145" s="28" t="n"/>
      <c r="D145" s="28" t="n"/>
      <c r="E145" s="28" t="n"/>
      <c r="F145" s="28" t="n"/>
      <c r="G145" s="29" t="n"/>
      <c r="H145" s="30" t="n"/>
      <c r="I145" s="28" t="n"/>
      <c r="J145" s="22">
        <f>IF(OR(H145="",I145=""),"",IF(I145="Single Pay",0,H145*IFERROR(INDEX(Lists!$D$2:$D$6,MATCH(I145,Lists!$C$2:$C$6,0)),0)))</f>
        <v/>
      </c>
      <c r="K145" s="31" t="n"/>
      <c r="L145" s="31" t="n"/>
      <c r="M145" s="32" t="n"/>
      <c r="N145" s="25">
        <f>IF(OR(L145="",M145=""),"",EDATE(L145,12*M145))</f>
        <v/>
      </c>
      <c r="O145" s="28" t="n"/>
      <c r="P145" s="32" t="n"/>
      <c r="Q145" s="31" t="n"/>
      <c r="R145" s="26">
        <f>IF(Q145="","",Q145-TODAY())</f>
        <v/>
      </c>
      <c r="S145" s="22">
        <f>IF(A145="","",SUMIFS(Payments!$C$2:$C$301,Payments!$B$2:$B$301,A145))</f>
        <v/>
      </c>
      <c r="T145" s="27">
        <f>IF(A145="","",SUMIFS(Beneficiaries!$E$2:$E$301,Beneficiaries!$A$2:$A$301,A145,Beneficiaries!$D$2:$D$301,"Primary"))</f>
        <v/>
      </c>
      <c r="U145" s="28" t="n"/>
      <c r="V145" s="28" t="n"/>
    </row>
    <row r="146">
      <c r="A146" s="28" t="n"/>
      <c r="B146" s="28" t="n"/>
      <c r="C146" s="28" t="n"/>
      <c r="D146" s="28" t="n"/>
      <c r="E146" s="28" t="n"/>
      <c r="F146" s="28" t="n"/>
      <c r="G146" s="29" t="n"/>
      <c r="H146" s="30" t="n"/>
      <c r="I146" s="28" t="n"/>
      <c r="J146" s="22">
        <f>IF(OR(H146="",I146=""),"",IF(I146="Single Pay",0,H146*IFERROR(INDEX(Lists!$D$2:$D$6,MATCH(I146,Lists!$C$2:$C$6,0)),0)))</f>
        <v/>
      </c>
      <c r="K146" s="31" t="n"/>
      <c r="L146" s="31" t="n"/>
      <c r="M146" s="32" t="n"/>
      <c r="N146" s="25">
        <f>IF(OR(L146="",M146=""),"",EDATE(L146,12*M146))</f>
        <v/>
      </c>
      <c r="O146" s="28" t="n"/>
      <c r="P146" s="32" t="n"/>
      <c r="Q146" s="31" t="n"/>
      <c r="R146" s="26">
        <f>IF(Q146="","",Q146-TODAY())</f>
        <v/>
      </c>
      <c r="S146" s="22">
        <f>IF(A146="","",SUMIFS(Payments!$C$2:$C$301,Payments!$B$2:$B$301,A146))</f>
        <v/>
      </c>
      <c r="T146" s="27">
        <f>IF(A146="","",SUMIFS(Beneficiaries!$E$2:$E$301,Beneficiaries!$A$2:$A$301,A146,Beneficiaries!$D$2:$D$301,"Primary"))</f>
        <v/>
      </c>
      <c r="U146" s="28" t="n"/>
      <c r="V146" s="28" t="n"/>
    </row>
    <row r="147">
      <c r="A147" s="28" t="n"/>
      <c r="B147" s="28" t="n"/>
      <c r="C147" s="28" t="n"/>
      <c r="D147" s="28" t="n"/>
      <c r="E147" s="28" t="n"/>
      <c r="F147" s="28" t="n"/>
      <c r="G147" s="29" t="n"/>
      <c r="H147" s="30" t="n"/>
      <c r="I147" s="28" t="n"/>
      <c r="J147" s="22">
        <f>IF(OR(H147="",I147=""),"",IF(I147="Single Pay",0,H147*IFERROR(INDEX(Lists!$D$2:$D$6,MATCH(I147,Lists!$C$2:$C$6,0)),0)))</f>
        <v/>
      </c>
      <c r="K147" s="31" t="n"/>
      <c r="L147" s="31" t="n"/>
      <c r="M147" s="32" t="n"/>
      <c r="N147" s="25">
        <f>IF(OR(L147="",M147=""),"",EDATE(L147,12*M147))</f>
        <v/>
      </c>
      <c r="O147" s="28" t="n"/>
      <c r="P147" s="32" t="n"/>
      <c r="Q147" s="31" t="n"/>
      <c r="R147" s="26">
        <f>IF(Q147="","",Q147-TODAY())</f>
        <v/>
      </c>
      <c r="S147" s="22">
        <f>IF(A147="","",SUMIFS(Payments!$C$2:$C$301,Payments!$B$2:$B$301,A147))</f>
        <v/>
      </c>
      <c r="T147" s="27">
        <f>IF(A147="","",SUMIFS(Beneficiaries!$E$2:$E$301,Beneficiaries!$A$2:$A$301,A147,Beneficiaries!$D$2:$D$301,"Primary"))</f>
        <v/>
      </c>
      <c r="U147" s="28" t="n"/>
      <c r="V147" s="28" t="n"/>
    </row>
    <row r="148">
      <c r="A148" s="28" t="n"/>
      <c r="B148" s="28" t="n"/>
      <c r="C148" s="28" t="n"/>
      <c r="D148" s="28" t="n"/>
      <c r="E148" s="28" t="n"/>
      <c r="F148" s="28" t="n"/>
      <c r="G148" s="29" t="n"/>
      <c r="H148" s="30" t="n"/>
      <c r="I148" s="28" t="n"/>
      <c r="J148" s="22">
        <f>IF(OR(H148="",I148=""),"",IF(I148="Single Pay",0,H148*IFERROR(INDEX(Lists!$D$2:$D$6,MATCH(I148,Lists!$C$2:$C$6,0)),0)))</f>
        <v/>
      </c>
      <c r="K148" s="31" t="n"/>
      <c r="L148" s="31" t="n"/>
      <c r="M148" s="32" t="n"/>
      <c r="N148" s="25">
        <f>IF(OR(L148="",M148=""),"",EDATE(L148,12*M148))</f>
        <v/>
      </c>
      <c r="O148" s="28" t="n"/>
      <c r="P148" s="32" t="n"/>
      <c r="Q148" s="31" t="n"/>
      <c r="R148" s="26">
        <f>IF(Q148="","",Q148-TODAY())</f>
        <v/>
      </c>
      <c r="S148" s="22">
        <f>IF(A148="","",SUMIFS(Payments!$C$2:$C$301,Payments!$B$2:$B$301,A148))</f>
        <v/>
      </c>
      <c r="T148" s="27">
        <f>IF(A148="","",SUMIFS(Beneficiaries!$E$2:$E$301,Beneficiaries!$A$2:$A$301,A148,Beneficiaries!$D$2:$D$301,"Primary"))</f>
        <v/>
      </c>
      <c r="U148" s="28" t="n"/>
      <c r="V148" s="28" t="n"/>
    </row>
    <row r="149">
      <c r="A149" s="28" t="n"/>
      <c r="B149" s="28" t="n"/>
      <c r="C149" s="28" t="n"/>
      <c r="D149" s="28" t="n"/>
      <c r="E149" s="28" t="n"/>
      <c r="F149" s="28" t="n"/>
      <c r="G149" s="29" t="n"/>
      <c r="H149" s="30" t="n"/>
      <c r="I149" s="28" t="n"/>
      <c r="J149" s="22">
        <f>IF(OR(H149="",I149=""),"",IF(I149="Single Pay",0,H149*IFERROR(INDEX(Lists!$D$2:$D$6,MATCH(I149,Lists!$C$2:$C$6,0)),0)))</f>
        <v/>
      </c>
      <c r="K149" s="31" t="n"/>
      <c r="L149" s="31" t="n"/>
      <c r="M149" s="32" t="n"/>
      <c r="N149" s="25">
        <f>IF(OR(L149="",M149=""),"",EDATE(L149,12*M149))</f>
        <v/>
      </c>
      <c r="O149" s="28" t="n"/>
      <c r="P149" s="32" t="n"/>
      <c r="Q149" s="31" t="n"/>
      <c r="R149" s="26">
        <f>IF(Q149="","",Q149-TODAY())</f>
        <v/>
      </c>
      <c r="S149" s="22">
        <f>IF(A149="","",SUMIFS(Payments!$C$2:$C$301,Payments!$B$2:$B$301,A149))</f>
        <v/>
      </c>
      <c r="T149" s="27">
        <f>IF(A149="","",SUMIFS(Beneficiaries!$E$2:$E$301,Beneficiaries!$A$2:$A$301,A149,Beneficiaries!$D$2:$D$301,"Primary"))</f>
        <v/>
      </c>
      <c r="U149" s="28" t="n"/>
      <c r="V149" s="28" t="n"/>
    </row>
    <row r="150">
      <c r="A150" s="28" t="n"/>
      <c r="B150" s="28" t="n"/>
      <c r="C150" s="28" t="n"/>
      <c r="D150" s="28" t="n"/>
      <c r="E150" s="28" t="n"/>
      <c r="F150" s="28" t="n"/>
      <c r="G150" s="29" t="n"/>
      <c r="H150" s="30" t="n"/>
      <c r="I150" s="28" t="n"/>
      <c r="J150" s="22">
        <f>IF(OR(H150="",I150=""),"",IF(I150="Single Pay",0,H150*IFERROR(INDEX(Lists!$D$2:$D$6,MATCH(I150,Lists!$C$2:$C$6,0)),0)))</f>
        <v/>
      </c>
      <c r="K150" s="31" t="n"/>
      <c r="L150" s="31" t="n"/>
      <c r="M150" s="32" t="n"/>
      <c r="N150" s="25">
        <f>IF(OR(L150="",M150=""),"",EDATE(L150,12*M150))</f>
        <v/>
      </c>
      <c r="O150" s="28" t="n"/>
      <c r="P150" s="32" t="n"/>
      <c r="Q150" s="31" t="n"/>
      <c r="R150" s="26">
        <f>IF(Q150="","",Q150-TODAY())</f>
        <v/>
      </c>
      <c r="S150" s="22">
        <f>IF(A150="","",SUMIFS(Payments!$C$2:$C$301,Payments!$B$2:$B$301,A150))</f>
        <v/>
      </c>
      <c r="T150" s="27">
        <f>IF(A150="","",SUMIFS(Beneficiaries!$E$2:$E$301,Beneficiaries!$A$2:$A$301,A150,Beneficiaries!$D$2:$D$301,"Primary"))</f>
        <v/>
      </c>
      <c r="U150" s="28" t="n"/>
      <c r="V150" s="28" t="n"/>
    </row>
    <row r="151">
      <c r="A151" s="28" t="n"/>
      <c r="B151" s="28" t="n"/>
      <c r="C151" s="28" t="n"/>
      <c r="D151" s="28" t="n"/>
      <c r="E151" s="28" t="n"/>
      <c r="F151" s="28" t="n"/>
      <c r="G151" s="29" t="n"/>
      <c r="H151" s="30" t="n"/>
      <c r="I151" s="28" t="n"/>
      <c r="J151" s="22">
        <f>IF(OR(H151="",I151=""),"",IF(I151="Single Pay",0,H151*IFERROR(INDEX(Lists!$D$2:$D$6,MATCH(I151,Lists!$C$2:$C$6,0)),0)))</f>
        <v/>
      </c>
      <c r="K151" s="31" t="n"/>
      <c r="L151" s="31" t="n"/>
      <c r="M151" s="32" t="n"/>
      <c r="N151" s="25">
        <f>IF(OR(L151="",M151=""),"",EDATE(L151,12*M151))</f>
        <v/>
      </c>
      <c r="O151" s="28" t="n"/>
      <c r="P151" s="32" t="n"/>
      <c r="Q151" s="31" t="n"/>
      <c r="R151" s="26">
        <f>IF(Q151="","",Q151-TODAY())</f>
        <v/>
      </c>
      <c r="S151" s="22">
        <f>IF(A151="","",SUMIFS(Payments!$C$2:$C$301,Payments!$B$2:$B$301,A151))</f>
        <v/>
      </c>
      <c r="T151" s="27">
        <f>IF(A151="","",SUMIFS(Beneficiaries!$E$2:$E$301,Beneficiaries!$A$2:$A$301,A151,Beneficiaries!$D$2:$D$301,"Primary"))</f>
        <v/>
      </c>
      <c r="U151" s="28" t="n"/>
      <c r="V151" s="28" t="n"/>
    </row>
    <row r="152">
      <c r="A152" s="28" t="n"/>
      <c r="B152" s="28" t="n"/>
      <c r="C152" s="28" t="n"/>
      <c r="D152" s="28" t="n"/>
      <c r="E152" s="28" t="n"/>
      <c r="F152" s="28" t="n"/>
      <c r="G152" s="29" t="n"/>
      <c r="H152" s="30" t="n"/>
      <c r="I152" s="28" t="n"/>
      <c r="J152" s="22">
        <f>IF(OR(H152="",I152=""),"",IF(I152="Single Pay",0,H152*IFERROR(INDEX(Lists!$D$2:$D$6,MATCH(I152,Lists!$C$2:$C$6,0)),0)))</f>
        <v/>
      </c>
      <c r="K152" s="31" t="n"/>
      <c r="L152" s="31" t="n"/>
      <c r="M152" s="32" t="n"/>
      <c r="N152" s="25">
        <f>IF(OR(L152="",M152=""),"",EDATE(L152,12*M152))</f>
        <v/>
      </c>
      <c r="O152" s="28" t="n"/>
      <c r="P152" s="32" t="n"/>
      <c r="Q152" s="31" t="n"/>
      <c r="R152" s="26">
        <f>IF(Q152="","",Q152-TODAY())</f>
        <v/>
      </c>
      <c r="S152" s="22">
        <f>IF(A152="","",SUMIFS(Payments!$C$2:$C$301,Payments!$B$2:$B$301,A152))</f>
        <v/>
      </c>
      <c r="T152" s="27">
        <f>IF(A152="","",SUMIFS(Beneficiaries!$E$2:$E$301,Beneficiaries!$A$2:$A$301,A152,Beneficiaries!$D$2:$D$301,"Primary"))</f>
        <v/>
      </c>
      <c r="U152" s="28" t="n"/>
      <c r="V152" s="28" t="n"/>
    </row>
    <row r="153">
      <c r="A153" s="28" t="n"/>
      <c r="B153" s="28" t="n"/>
      <c r="C153" s="28" t="n"/>
      <c r="D153" s="28" t="n"/>
      <c r="E153" s="28" t="n"/>
      <c r="F153" s="28" t="n"/>
      <c r="G153" s="29" t="n"/>
      <c r="H153" s="30" t="n"/>
      <c r="I153" s="28" t="n"/>
      <c r="J153" s="22">
        <f>IF(OR(H153="",I153=""),"",IF(I153="Single Pay",0,H153*IFERROR(INDEX(Lists!$D$2:$D$6,MATCH(I153,Lists!$C$2:$C$6,0)),0)))</f>
        <v/>
      </c>
      <c r="K153" s="31" t="n"/>
      <c r="L153" s="31" t="n"/>
      <c r="M153" s="32" t="n"/>
      <c r="N153" s="25">
        <f>IF(OR(L153="",M153=""),"",EDATE(L153,12*M153))</f>
        <v/>
      </c>
      <c r="O153" s="28" t="n"/>
      <c r="P153" s="32" t="n"/>
      <c r="Q153" s="31" t="n"/>
      <c r="R153" s="26">
        <f>IF(Q153="","",Q153-TODAY())</f>
        <v/>
      </c>
      <c r="S153" s="22">
        <f>IF(A153="","",SUMIFS(Payments!$C$2:$C$301,Payments!$B$2:$B$301,A153))</f>
        <v/>
      </c>
      <c r="T153" s="27">
        <f>IF(A153="","",SUMIFS(Beneficiaries!$E$2:$E$301,Beneficiaries!$A$2:$A$301,A153,Beneficiaries!$D$2:$D$301,"Primary"))</f>
        <v/>
      </c>
      <c r="U153" s="28" t="n"/>
      <c r="V153" s="28" t="n"/>
    </row>
    <row r="154">
      <c r="A154" s="28" t="n"/>
      <c r="B154" s="28" t="n"/>
      <c r="C154" s="28" t="n"/>
      <c r="D154" s="28" t="n"/>
      <c r="E154" s="28" t="n"/>
      <c r="F154" s="28" t="n"/>
      <c r="G154" s="29" t="n"/>
      <c r="H154" s="30" t="n"/>
      <c r="I154" s="28" t="n"/>
      <c r="J154" s="22">
        <f>IF(OR(H154="",I154=""),"",IF(I154="Single Pay",0,H154*IFERROR(INDEX(Lists!$D$2:$D$6,MATCH(I154,Lists!$C$2:$C$6,0)),0)))</f>
        <v/>
      </c>
      <c r="K154" s="31" t="n"/>
      <c r="L154" s="31" t="n"/>
      <c r="M154" s="32" t="n"/>
      <c r="N154" s="25">
        <f>IF(OR(L154="",M154=""),"",EDATE(L154,12*M154))</f>
        <v/>
      </c>
      <c r="O154" s="28" t="n"/>
      <c r="P154" s="32" t="n"/>
      <c r="Q154" s="31" t="n"/>
      <c r="R154" s="26">
        <f>IF(Q154="","",Q154-TODAY())</f>
        <v/>
      </c>
      <c r="S154" s="22">
        <f>IF(A154="","",SUMIFS(Payments!$C$2:$C$301,Payments!$B$2:$B$301,A154))</f>
        <v/>
      </c>
      <c r="T154" s="27">
        <f>IF(A154="","",SUMIFS(Beneficiaries!$E$2:$E$301,Beneficiaries!$A$2:$A$301,A154,Beneficiaries!$D$2:$D$301,"Primary"))</f>
        <v/>
      </c>
      <c r="U154" s="28" t="n"/>
      <c r="V154" s="28" t="n"/>
    </row>
    <row r="155">
      <c r="A155" s="28" t="n"/>
      <c r="B155" s="28" t="n"/>
      <c r="C155" s="28" t="n"/>
      <c r="D155" s="28" t="n"/>
      <c r="E155" s="28" t="n"/>
      <c r="F155" s="28" t="n"/>
      <c r="G155" s="29" t="n"/>
      <c r="H155" s="30" t="n"/>
      <c r="I155" s="28" t="n"/>
      <c r="J155" s="22">
        <f>IF(OR(H155="",I155=""),"",IF(I155="Single Pay",0,H155*IFERROR(INDEX(Lists!$D$2:$D$6,MATCH(I155,Lists!$C$2:$C$6,0)),0)))</f>
        <v/>
      </c>
      <c r="K155" s="31" t="n"/>
      <c r="L155" s="31" t="n"/>
      <c r="M155" s="32" t="n"/>
      <c r="N155" s="25">
        <f>IF(OR(L155="",M155=""),"",EDATE(L155,12*M155))</f>
        <v/>
      </c>
      <c r="O155" s="28" t="n"/>
      <c r="P155" s="32" t="n"/>
      <c r="Q155" s="31" t="n"/>
      <c r="R155" s="26">
        <f>IF(Q155="","",Q155-TODAY())</f>
        <v/>
      </c>
      <c r="S155" s="22">
        <f>IF(A155="","",SUMIFS(Payments!$C$2:$C$301,Payments!$B$2:$B$301,A155))</f>
        <v/>
      </c>
      <c r="T155" s="27">
        <f>IF(A155="","",SUMIFS(Beneficiaries!$E$2:$E$301,Beneficiaries!$A$2:$A$301,A155,Beneficiaries!$D$2:$D$301,"Primary"))</f>
        <v/>
      </c>
      <c r="U155" s="28" t="n"/>
      <c r="V155" s="28" t="n"/>
    </row>
    <row r="156">
      <c r="A156" s="28" t="n"/>
      <c r="B156" s="28" t="n"/>
      <c r="C156" s="28" t="n"/>
      <c r="D156" s="28" t="n"/>
      <c r="E156" s="28" t="n"/>
      <c r="F156" s="28" t="n"/>
      <c r="G156" s="29" t="n"/>
      <c r="H156" s="30" t="n"/>
      <c r="I156" s="28" t="n"/>
      <c r="J156" s="22">
        <f>IF(OR(H156="",I156=""),"",IF(I156="Single Pay",0,H156*IFERROR(INDEX(Lists!$D$2:$D$6,MATCH(I156,Lists!$C$2:$C$6,0)),0)))</f>
        <v/>
      </c>
      <c r="K156" s="31" t="n"/>
      <c r="L156" s="31" t="n"/>
      <c r="M156" s="32" t="n"/>
      <c r="N156" s="25">
        <f>IF(OR(L156="",M156=""),"",EDATE(L156,12*M156))</f>
        <v/>
      </c>
      <c r="O156" s="28" t="n"/>
      <c r="P156" s="32" t="n"/>
      <c r="Q156" s="31" t="n"/>
      <c r="R156" s="26">
        <f>IF(Q156="","",Q156-TODAY())</f>
        <v/>
      </c>
      <c r="S156" s="22">
        <f>IF(A156="","",SUMIFS(Payments!$C$2:$C$301,Payments!$B$2:$B$301,A156))</f>
        <v/>
      </c>
      <c r="T156" s="27">
        <f>IF(A156="","",SUMIFS(Beneficiaries!$E$2:$E$301,Beneficiaries!$A$2:$A$301,A156,Beneficiaries!$D$2:$D$301,"Primary"))</f>
        <v/>
      </c>
      <c r="U156" s="28" t="n"/>
      <c r="V156" s="28" t="n"/>
    </row>
    <row r="157">
      <c r="A157" s="28" t="n"/>
      <c r="B157" s="28" t="n"/>
      <c r="C157" s="28" t="n"/>
      <c r="D157" s="28" t="n"/>
      <c r="E157" s="28" t="n"/>
      <c r="F157" s="28" t="n"/>
      <c r="G157" s="29" t="n"/>
      <c r="H157" s="30" t="n"/>
      <c r="I157" s="28" t="n"/>
      <c r="J157" s="22">
        <f>IF(OR(H157="",I157=""),"",IF(I157="Single Pay",0,H157*IFERROR(INDEX(Lists!$D$2:$D$6,MATCH(I157,Lists!$C$2:$C$6,0)),0)))</f>
        <v/>
      </c>
      <c r="K157" s="31" t="n"/>
      <c r="L157" s="31" t="n"/>
      <c r="M157" s="32" t="n"/>
      <c r="N157" s="25">
        <f>IF(OR(L157="",M157=""),"",EDATE(L157,12*M157))</f>
        <v/>
      </c>
      <c r="O157" s="28" t="n"/>
      <c r="P157" s="32" t="n"/>
      <c r="Q157" s="31" t="n"/>
      <c r="R157" s="26">
        <f>IF(Q157="","",Q157-TODAY())</f>
        <v/>
      </c>
      <c r="S157" s="22">
        <f>IF(A157="","",SUMIFS(Payments!$C$2:$C$301,Payments!$B$2:$B$301,A157))</f>
        <v/>
      </c>
      <c r="T157" s="27">
        <f>IF(A157="","",SUMIFS(Beneficiaries!$E$2:$E$301,Beneficiaries!$A$2:$A$301,A157,Beneficiaries!$D$2:$D$301,"Primary"))</f>
        <v/>
      </c>
      <c r="U157" s="28" t="n"/>
      <c r="V157" s="28" t="n"/>
    </row>
    <row r="158">
      <c r="A158" s="28" t="n"/>
      <c r="B158" s="28" t="n"/>
      <c r="C158" s="28" t="n"/>
      <c r="D158" s="28" t="n"/>
      <c r="E158" s="28" t="n"/>
      <c r="F158" s="28" t="n"/>
      <c r="G158" s="29" t="n"/>
      <c r="H158" s="30" t="n"/>
      <c r="I158" s="28" t="n"/>
      <c r="J158" s="22">
        <f>IF(OR(H158="",I158=""),"",IF(I158="Single Pay",0,H158*IFERROR(INDEX(Lists!$D$2:$D$6,MATCH(I158,Lists!$C$2:$C$6,0)),0)))</f>
        <v/>
      </c>
      <c r="K158" s="31" t="n"/>
      <c r="L158" s="31" t="n"/>
      <c r="M158" s="32" t="n"/>
      <c r="N158" s="25">
        <f>IF(OR(L158="",M158=""),"",EDATE(L158,12*M158))</f>
        <v/>
      </c>
      <c r="O158" s="28" t="n"/>
      <c r="P158" s="32" t="n"/>
      <c r="Q158" s="31" t="n"/>
      <c r="R158" s="26">
        <f>IF(Q158="","",Q158-TODAY())</f>
        <v/>
      </c>
      <c r="S158" s="22">
        <f>IF(A158="","",SUMIFS(Payments!$C$2:$C$301,Payments!$B$2:$B$301,A158))</f>
        <v/>
      </c>
      <c r="T158" s="27">
        <f>IF(A158="","",SUMIFS(Beneficiaries!$E$2:$E$301,Beneficiaries!$A$2:$A$301,A158,Beneficiaries!$D$2:$D$301,"Primary"))</f>
        <v/>
      </c>
      <c r="U158" s="28" t="n"/>
      <c r="V158" s="28" t="n"/>
    </row>
    <row r="159">
      <c r="A159" s="28" t="n"/>
      <c r="B159" s="28" t="n"/>
      <c r="C159" s="28" t="n"/>
      <c r="D159" s="28" t="n"/>
      <c r="E159" s="28" t="n"/>
      <c r="F159" s="28" t="n"/>
      <c r="G159" s="29" t="n"/>
      <c r="H159" s="30" t="n"/>
      <c r="I159" s="28" t="n"/>
      <c r="J159" s="22">
        <f>IF(OR(H159="",I159=""),"",IF(I159="Single Pay",0,H159*IFERROR(INDEX(Lists!$D$2:$D$6,MATCH(I159,Lists!$C$2:$C$6,0)),0)))</f>
        <v/>
      </c>
      <c r="K159" s="31" t="n"/>
      <c r="L159" s="31" t="n"/>
      <c r="M159" s="32" t="n"/>
      <c r="N159" s="25">
        <f>IF(OR(L159="",M159=""),"",EDATE(L159,12*M159))</f>
        <v/>
      </c>
      <c r="O159" s="28" t="n"/>
      <c r="P159" s="32" t="n"/>
      <c r="Q159" s="31" t="n"/>
      <c r="R159" s="26">
        <f>IF(Q159="","",Q159-TODAY())</f>
        <v/>
      </c>
      <c r="S159" s="22">
        <f>IF(A159="","",SUMIFS(Payments!$C$2:$C$301,Payments!$B$2:$B$301,A159))</f>
        <v/>
      </c>
      <c r="T159" s="27">
        <f>IF(A159="","",SUMIFS(Beneficiaries!$E$2:$E$301,Beneficiaries!$A$2:$A$301,A159,Beneficiaries!$D$2:$D$301,"Primary"))</f>
        <v/>
      </c>
      <c r="U159" s="28" t="n"/>
      <c r="V159" s="28" t="n"/>
    </row>
    <row r="160">
      <c r="A160" s="28" t="n"/>
      <c r="B160" s="28" t="n"/>
      <c r="C160" s="28" t="n"/>
      <c r="D160" s="28" t="n"/>
      <c r="E160" s="28" t="n"/>
      <c r="F160" s="28" t="n"/>
      <c r="G160" s="29" t="n"/>
      <c r="H160" s="30" t="n"/>
      <c r="I160" s="28" t="n"/>
      <c r="J160" s="22">
        <f>IF(OR(H160="",I160=""),"",IF(I160="Single Pay",0,H160*IFERROR(INDEX(Lists!$D$2:$D$6,MATCH(I160,Lists!$C$2:$C$6,0)),0)))</f>
        <v/>
      </c>
      <c r="K160" s="31" t="n"/>
      <c r="L160" s="31" t="n"/>
      <c r="M160" s="32" t="n"/>
      <c r="N160" s="25">
        <f>IF(OR(L160="",M160=""),"",EDATE(L160,12*M160))</f>
        <v/>
      </c>
      <c r="O160" s="28" t="n"/>
      <c r="P160" s="32" t="n"/>
      <c r="Q160" s="31" t="n"/>
      <c r="R160" s="26">
        <f>IF(Q160="","",Q160-TODAY())</f>
        <v/>
      </c>
      <c r="S160" s="22">
        <f>IF(A160="","",SUMIFS(Payments!$C$2:$C$301,Payments!$B$2:$B$301,A160))</f>
        <v/>
      </c>
      <c r="T160" s="27">
        <f>IF(A160="","",SUMIFS(Beneficiaries!$E$2:$E$301,Beneficiaries!$A$2:$A$301,A160,Beneficiaries!$D$2:$D$301,"Primary"))</f>
        <v/>
      </c>
      <c r="U160" s="28" t="n"/>
      <c r="V160" s="28" t="n"/>
    </row>
    <row r="161">
      <c r="A161" s="28" t="n"/>
      <c r="B161" s="28" t="n"/>
      <c r="C161" s="28" t="n"/>
      <c r="D161" s="28" t="n"/>
      <c r="E161" s="28" t="n"/>
      <c r="F161" s="28" t="n"/>
      <c r="G161" s="29" t="n"/>
      <c r="H161" s="30" t="n"/>
      <c r="I161" s="28" t="n"/>
      <c r="J161" s="22">
        <f>IF(OR(H161="",I161=""),"",IF(I161="Single Pay",0,H161*IFERROR(INDEX(Lists!$D$2:$D$6,MATCH(I161,Lists!$C$2:$C$6,0)),0)))</f>
        <v/>
      </c>
      <c r="K161" s="31" t="n"/>
      <c r="L161" s="31" t="n"/>
      <c r="M161" s="32" t="n"/>
      <c r="N161" s="25">
        <f>IF(OR(L161="",M161=""),"",EDATE(L161,12*M161))</f>
        <v/>
      </c>
      <c r="O161" s="28" t="n"/>
      <c r="P161" s="32" t="n"/>
      <c r="Q161" s="31" t="n"/>
      <c r="R161" s="26">
        <f>IF(Q161="","",Q161-TODAY())</f>
        <v/>
      </c>
      <c r="S161" s="22">
        <f>IF(A161="","",SUMIFS(Payments!$C$2:$C$301,Payments!$B$2:$B$301,A161))</f>
        <v/>
      </c>
      <c r="T161" s="27">
        <f>IF(A161="","",SUMIFS(Beneficiaries!$E$2:$E$301,Beneficiaries!$A$2:$A$301,A161,Beneficiaries!$D$2:$D$301,"Primary"))</f>
        <v/>
      </c>
      <c r="U161" s="28" t="n"/>
      <c r="V161" s="28" t="n"/>
    </row>
    <row r="162">
      <c r="A162" s="28" t="n"/>
      <c r="B162" s="28" t="n"/>
      <c r="C162" s="28" t="n"/>
      <c r="D162" s="28" t="n"/>
      <c r="E162" s="28" t="n"/>
      <c r="F162" s="28" t="n"/>
      <c r="G162" s="29" t="n"/>
      <c r="H162" s="30" t="n"/>
      <c r="I162" s="28" t="n"/>
      <c r="J162" s="22">
        <f>IF(OR(H162="",I162=""),"",IF(I162="Single Pay",0,H162*IFERROR(INDEX(Lists!$D$2:$D$6,MATCH(I162,Lists!$C$2:$C$6,0)),0)))</f>
        <v/>
      </c>
      <c r="K162" s="31" t="n"/>
      <c r="L162" s="31" t="n"/>
      <c r="M162" s="32" t="n"/>
      <c r="N162" s="25">
        <f>IF(OR(L162="",M162=""),"",EDATE(L162,12*M162))</f>
        <v/>
      </c>
      <c r="O162" s="28" t="n"/>
      <c r="P162" s="32" t="n"/>
      <c r="Q162" s="31" t="n"/>
      <c r="R162" s="26">
        <f>IF(Q162="","",Q162-TODAY())</f>
        <v/>
      </c>
      <c r="S162" s="22">
        <f>IF(A162="","",SUMIFS(Payments!$C$2:$C$301,Payments!$B$2:$B$301,A162))</f>
        <v/>
      </c>
      <c r="T162" s="27">
        <f>IF(A162="","",SUMIFS(Beneficiaries!$E$2:$E$301,Beneficiaries!$A$2:$A$301,A162,Beneficiaries!$D$2:$D$301,"Primary"))</f>
        <v/>
      </c>
      <c r="U162" s="28" t="n"/>
      <c r="V162" s="28" t="n"/>
    </row>
    <row r="163">
      <c r="A163" s="28" t="n"/>
      <c r="B163" s="28" t="n"/>
      <c r="C163" s="28" t="n"/>
      <c r="D163" s="28" t="n"/>
      <c r="E163" s="28" t="n"/>
      <c r="F163" s="28" t="n"/>
      <c r="G163" s="29" t="n"/>
      <c r="H163" s="30" t="n"/>
      <c r="I163" s="28" t="n"/>
      <c r="J163" s="22">
        <f>IF(OR(H163="",I163=""),"",IF(I163="Single Pay",0,H163*IFERROR(INDEX(Lists!$D$2:$D$6,MATCH(I163,Lists!$C$2:$C$6,0)),0)))</f>
        <v/>
      </c>
      <c r="K163" s="31" t="n"/>
      <c r="L163" s="31" t="n"/>
      <c r="M163" s="32" t="n"/>
      <c r="N163" s="25">
        <f>IF(OR(L163="",M163=""),"",EDATE(L163,12*M163))</f>
        <v/>
      </c>
      <c r="O163" s="28" t="n"/>
      <c r="P163" s="32" t="n"/>
      <c r="Q163" s="31" t="n"/>
      <c r="R163" s="26">
        <f>IF(Q163="","",Q163-TODAY())</f>
        <v/>
      </c>
      <c r="S163" s="22">
        <f>IF(A163="","",SUMIFS(Payments!$C$2:$C$301,Payments!$B$2:$B$301,A163))</f>
        <v/>
      </c>
      <c r="T163" s="27">
        <f>IF(A163="","",SUMIFS(Beneficiaries!$E$2:$E$301,Beneficiaries!$A$2:$A$301,A163,Beneficiaries!$D$2:$D$301,"Primary"))</f>
        <v/>
      </c>
      <c r="U163" s="28" t="n"/>
      <c r="V163" s="28" t="n"/>
    </row>
    <row r="164">
      <c r="A164" s="28" t="n"/>
      <c r="B164" s="28" t="n"/>
      <c r="C164" s="28" t="n"/>
      <c r="D164" s="28" t="n"/>
      <c r="E164" s="28" t="n"/>
      <c r="F164" s="28" t="n"/>
      <c r="G164" s="29" t="n"/>
      <c r="H164" s="30" t="n"/>
      <c r="I164" s="28" t="n"/>
      <c r="J164" s="22">
        <f>IF(OR(H164="",I164=""),"",IF(I164="Single Pay",0,H164*IFERROR(INDEX(Lists!$D$2:$D$6,MATCH(I164,Lists!$C$2:$C$6,0)),0)))</f>
        <v/>
      </c>
      <c r="K164" s="31" t="n"/>
      <c r="L164" s="31" t="n"/>
      <c r="M164" s="32" t="n"/>
      <c r="N164" s="25">
        <f>IF(OR(L164="",M164=""),"",EDATE(L164,12*M164))</f>
        <v/>
      </c>
      <c r="O164" s="28" t="n"/>
      <c r="P164" s="32" t="n"/>
      <c r="Q164" s="31" t="n"/>
      <c r="R164" s="26">
        <f>IF(Q164="","",Q164-TODAY())</f>
        <v/>
      </c>
      <c r="S164" s="22">
        <f>IF(A164="","",SUMIFS(Payments!$C$2:$C$301,Payments!$B$2:$B$301,A164))</f>
        <v/>
      </c>
      <c r="T164" s="27">
        <f>IF(A164="","",SUMIFS(Beneficiaries!$E$2:$E$301,Beneficiaries!$A$2:$A$301,A164,Beneficiaries!$D$2:$D$301,"Primary"))</f>
        <v/>
      </c>
      <c r="U164" s="28" t="n"/>
      <c r="V164" s="28" t="n"/>
    </row>
    <row r="165">
      <c r="A165" s="28" t="n"/>
      <c r="B165" s="28" t="n"/>
      <c r="C165" s="28" t="n"/>
      <c r="D165" s="28" t="n"/>
      <c r="E165" s="28" t="n"/>
      <c r="F165" s="28" t="n"/>
      <c r="G165" s="29" t="n"/>
      <c r="H165" s="30" t="n"/>
      <c r="I165" s="28" t="n"/>
      <c r="J165" s="22">
        <f>IF(OR(H165="",I165=""),"",IF(I165="Single Pay",0,H165*IFERROR(INDEX(Lists!$D$2:$D$6,MATCH(I165,Lists!$C$2:$C$6,0)),0)))</f>
        <v/>
      </c>
      <c r="K165" s="31" t="n"/>
      <c r="L165" s="31" t="n"/>
      <c r="M165" s="32" t="n"/>
      <c r="N165" s="25">
        <f>IF(OR(L165="",M165=""),"",EDATE(L165,12*M165))</f>
        <v/>
      </c>
      <c r="O165" s="28" t="n"/>
      <c r="P165" s="32" t="n"/>
      <c r="Q165" s="31" t="n"/>
      <c r="R165" s="26">
        <f>IF(Q165="","",Q165-TODAY())</f>
        <v/>
      </c>
      <c r="S165" s="22">
        <f>IF(A165="","",SUMIFS(Payments!$C$2:$C$301,Payments!$B$2:$B$301,A165))</f>
        <v/>
      </c>
      <c r="T165" s="27">
        <f>IF(A165="","",SUMIFS(Beneficiaries!$E$2:$E$301,Beneficiaries!$A$2:$A$301,A165,Beneficiaries!$D$2:$D$301,"Primary"))</f>
        <v/>
      </c>
      <c r="U165" s="28" t="n"/>
      <c r="V165" s="28" t="n"/>
    </row>
    <row r="166">
      <c r="A166" s="28" t="n"/>
      <c r="B166" s="28" t="n"/>
      <c r="C166" s="28" t="n"/>
      <c r="D166" s="28" t="n"/>
      <c r="E166" s="28" t="n"/>
      <c r="F166" s="28" t="n"/>
      <c r="G166" s="29" t="n"/>
      <c r="H166" s="30" t="n"/>
      <c r="I166" s="28" t="n"/>
      <c r="J166" s="22">
        <f>IF(OR(H166="",I166=""),"",IF(I166="Single Pay",0,H166*IFERROR(INDEX(Lists!$D$2:$D$6,MATCH(I166,Lists!$C$2:$C$6,0)),0)))</f>
        <v/>
      </c>
      <c r="K166" s="31" t="n"/>
      <c r="L166" s="31" t="n"/>
      <c r="M166" s="32" t="n"/>
      <c r="N166" s="25">
        <f>IF(OR(L166="",M166=""),"",EDATE(L166,12*M166))</f>
        <v/>
      </c>
      <c r="O166" s="28" t="n"/>
      <c r="P166" s="32" t="n"/>
      <c r="Q166" s="31" t="n"/>
      <c r="R166" s="26">
        <f>IF(Q166="","",Q166-TODAY())</f>
        <v/>
      </c>
      <c r="S166" s="22">
        <f>IF(A166="","",SUMIFS(Payments!$C$2:$C$301,Payments!$B$2:$B$301,A166))</f>
        <v/>
      </c>
      <c r="T166" s="27">
        <f>IF(A166="","",SUMIFS(Beneficiaries!$E$2:$E$301,Beneficiaries!$A$2:$A$301,A166,Beneficiaries!$D$2:$D$301,"Primary"))</f>
        <v/>
      </c>
      <c r="U166" s="28" t="n"/>
      <c r="V166" s="28" t="n"/>
    </row>
    <row r="167">
      <c r="A167" s="28" t="n"/>
      <c r="B167" s="28" t="n"/>
      <c r="C167" s="28" t="n"/>
      <c r="D167" s="28" t="n"/>
      <c r="E167" s="28" t="n"/>
      <c r="F167" s="28" t="n"/>
      <c r="G167" s="29" t="n"/>
      <c r="H167" s="30" t="n"/>
      <c r="I167" s="28" t="n"/>
      <c r="J167" s="22">
        <f>IF(OR(H167="",I167=""),"",IF(I167="Single Pay",0,H167*IFERROR(INDEX(Lists!$D$2:$D$6,MATCH(I167,Lists!$C$2:$C$6,0)),0)))</f>
        <v/>
      </c>
      <c r="K167" s="31" t="n"/>
      <c r="L167" s="31" t="n"/>
      <c r="M167" s="32" t="n"/>
      <c r="N167" s="25">
        <f>IF(OR(L167="",M167=""),"",EDATE(L167,12*M167))</f>
        <v/>
      </c>
      <c r="O167" s="28" t="n"/>
      <c r="P167" s="32" t="n"/>
      <c r="Q167" s="31" t="n"/>
      <c r="R167" s="26">
        <f>IF(Q167="","",Q167-TODAY())</f>
        <v/>
      </c>
      <c r="S167" s="22">
        <f>IF(A167="","",SUMIFS(Payments!$C$2:$C$301,Payments!$B$2:$B$301,A167))</f>
        <v/>
      </c>
      <c r="T167" s="27">
        <f>IF(A167="","",SUMIFS(Beneficiaries!$E$2:$E$301,Beneficiaries!$A$2:$A$301,A167,Beneficiaries!$D$2:$D$301,"Primary"))</f>
        <v/>
      </c>
      <c r="U167" s="28" t="n"/>
      <c r="V167" s="28" t="n"/>
    </row>
    <row r="168">
      <c r="A168" s="28" t="n"/>
      <c r="B168" s="28" t="n"/>
      <c r="C168" s="28" t="n"/>
      <c r="D168" s="28" t="n"/>
      <c r="E168" s="28" t="n"/>
      <c r="F168" s="28" t="n"/>
      <c r="G168" s="29" t="n"/>
      <c r="H168" s="30" t="n"/>
      <c r="I168" s="28" t="n"/>
      <c r="J168" s="22">
        <f>IF(OR(H168="",I168=""),"",IF(I168="Single Pay",0,H168*IFERROR(INDEX(Lists!$D$2:$D$6,MATCH(I168,Lists!$C$2:$C$6,0)),0)))</f>
        <v/>
      </c>
      <c r="K168" s="31" t="n"/>
      <c r="L168" s="31" t="n"/>
      <c r="M168" s="32" t="n"/>
      <c r="N168" s="25">
        <f>IF(OR(L168="",M168=""),"",EDATE(L168,12*M168))</f>
        <v/>
      </c>
      <c r="O168" s="28" t="n"/>
      <c r="P168" s="32" t="n"/>
      <c r="Q168" s="31" t="n"/>
      <c r="R168" s="26">
        <f>IF(Q168="","",Q168-TODAY())</f>
        <v/>
      </c>
      <c r="S168" s="22">
        <f>IF(A168="","",SUMIFS(Payments!$C$2:$C$301,Payments!$B$2:$B$301,A168))</f>
        <v/>
      </c>
      <c r="T168" s="27">
        <f>IF(A168="","",SUMIFS(Beneficiaries!$E$2:$E$301,Beneficiaries!$A$2:$A$301,A168,Beneficiaries!$D$2:$D$301,"Primary"))</f>
        <v/>
      </c>
      <c r="U168" s="28" t="n"/>
      <c r="V168" s="28" t="n"/>
    </row>
    <row r="169">
      <c r="A169" s="28" t="n"/>
      <c r="B169" s="28" t="n"/>
      <c r="C169" s="28" t="n"/>
      <c r="D169" s="28" t="n"/>
      <c r="E169" s="28" t="n"/>
      <c r="F169" s="28" t="n"/>
      <c r="G169" s="29" t="n"/>
      <c r="H169" s="30" t="n"/>
      <c r="I169" s="28" t="n"/>
      <c r="J169" s="22">
        <f>IF(OR(H169="",I169=""),"",IF(I169="Single Pay",0,H169*IFERROR(INDEX(Lists!$D$2:$D$6,MATCH(I169,Lists!$C$2:$C$6,0)),0)))</f>
        <v/>
      </c>
      <c r="K169" s="31" t="n"/>
      <c r="L169" s="31" t="n"/>
      <c r="M169" s="32" t="n"/>
      <c r="N169" s="25">
        <f>IF(OR(L169="",M169=""),"",EDATE(L169,12*M169))</f>
        <v/>
      </c>
      <c r="O169" s="28" t="n"/>
      <c r="P169" s="32" t="n"/>
      <c r="Q169" s="31" t="n"/>
      <c r="R169" s="26">
        <f>IF(Q169="","",Q169-TODAY())</f>
        <v/>
      </c>
      <c r="S169" s="22">
        <f>IF(A169="","",SUMIFS(Payments!$C$2:$C$301,Payments!$B$2:$B$301,A169))</f>
        <v/>
      </c>
      <c r="T169" s="27">
        <f>IF(A169="","",SUMIFS(Beneficiaries!$E$2:$E$301,Beneficiaries!$A$2:$A$301,A169,Beneficiaries!$D$2:$D$301,"Primary"))</f>
        <v/>
      </c>
      <c r="U169" s="28" t="n"/>
      <c r="V169" s="28" t="n"/>
    </row>
    <row r="170">
      <c r="A170" s="28" t="n"/>
      <c r="B170" s="28" t="n"/>
      <c r="C170" s="28" t="n"/>
      <c r="D170" s="28" t="n"/>
      <c r="E170" s="28" t="n"/>
      <c r="F170" s="28" t="n"/>
      <c r="G170" s="29" t="n"/>
      <c r="H170" s="30" t="n"/>
      <c r="I170" s="28" t="n"/>
      <c r="J170" s="22">
        <f>IF(OR(H170="",I170=""),"",IF(I170="Single Pay",0,H170*IFERROR(INDEX(Lists!$D$2:$D$6,MATCH(I170,Lists!$C$2:$C$6,0)),0)))</f>
        <v/>
      </c>
      <c r="K170" s="31" t="n"/>
      <c r="L170" s="31" t="n"/>
      <c r="M170" s="32" t="n"/>
      <c r="N170" s="25">
        <f>IF(OR(L170="",M170=""),"",EDATE(L170,12*M170))</f>
        <v/>
      </c>
      <c r="O170" s="28" t="n"/>
      <c r="P170" s="32" t="n"/>
      <c r="Q170" s="31" t="n"/>
      <c r="R170" s="26">
        <f>IF(Q170="","",Q170-TODAY())</f>
        <v/>
      </c>
      <c r="S170" s="22">
        <f>IF(A170="","",SUMIFS(Payments!$C$2:$C$301,Payments!$B$2:$B$301,A170))</f>
        <v/>
      </c>
      <c r="T170" s="27">
        <f>IF(A170="","",SUMIFS(Beneficiaries!$E$2:$E$301,Beneficiaries!$A$2:$A$301,A170,Beneficiaries!$D$2:$D$301,"Primary"))</f>
        <v/>
      </c>
      <c r="U170" s="28" t="n"/>
      <c r="V170" s="28" t="n"/>
    </row>
    <row r="171">
      <c r="A171" s="28" t="n"/>
      <c r="B171" s="28" t="n"/>
      <c r="C171" s="28" t="n"/>
      <c r="D171" s="28" t="n"/>
      <c r="E171" s="28" t="n"/>
      <c r="F171" s="28" t="n"/>
      <c r="G171" s="29" t="n"/>
      <c r="H171" s="30" t="n"/>
      <c r="I171" s="28" t="n"/>
      <c r="J171" s="22">
        <f>IF(OR(H171="",I171=""),"",IF(I171="Single Pay",0,H171*IFERROR(INDEX(Lists!$D$2:$D$6,MATCH(I171,Lists!$C$2:$C$6,0)),0)))</f>
        <v/>
      </c>
      <c r="K171" s="31" t="n"/>
      <c r="L171" s="31" t="n"/>
      <c r="M171" s="32" t="n"/>
      <c r="N171" s="25">
        <f>IF(OR(L171="",M171=""),"",EDATE(L171,12*M171))</f>
        <v/>
      </c>
      <c r="O171" s="28" t="n"/>
      <c r="P171" s="32" t="n"/>
      <c r="Q171" s="31" t="n"/>
      <c r="R171" s="26">
        <f>IF(Q171="","",Q171-TODAY())</f>
        <v/>
      </c>
      <c r="S171" s="22">
        <f>IF(A171="","",SUMIFS(Payments!$C$2:$C$301,Payments!$B$2:$B$301,A171))</f>
        <v/>
      </c>
      <c r="T171" s="27">
        <f>IF(A171="","",SUMIFS(Beneficiaries!$E$2:$E$301,Beneficiaries!$A$2:$A$301,A171,Beneficiaries!$D$2:$D$301,"Primary"))</f>
        <v/>
      </c>
      <c r="U171" s="28" t="n"/>
      <c r="V171" s="28" t="n"/>
    </row>
    <row r="172">
      <c r="A172" s="28" t="n"/>
      <c r="B172" s="28" t="n"/>
      <c r="C172" s="28" t="n"/>
      <c r="D172" s="28" t="n"/>
      <c r="E172" s="28" t="n"/>
      <c r="F172" s="28" t="n"/>
      <c r="G172" s="29" t="n"/>
      <c r="H172" s="30" t="n"/>
      <c r="I172" s="28" t="n"/>
      <c r="J172" s="22">
        <f>IF(OR(H172="",I172=""),"",IF(I172="Single Pay",0,H172*IFERROR(INDEX(Lists!$D$2:$D$6,MATCH(I172,Lists!$C$2:$C$6,0)),0)))</f>
        <v/>
      </c>
      <c r="K172" s="31" t="n"/>
      <c r="L172" s="31" t="n"/>
      <c r="M172" s="32" t="n"/>
      <c r="N172" s="25">
        <f>IF(OR(L172="",M172=""),"",EDATE(L172,12*M172))</f>
        <v/>
      </c>
      <c r="O172" s="28" t="n"/>
      <c r="P172" s="32" t="n"/>
      <c r="Q172" s="31" t="n"/>
      <c r="R172" s="26">
        <f>IF(Q172="","",Q172-TODAY())</f>
        <v/>
      </c>
      <c r="S172" s="22">
        <f>IF(A172="","",SUMIFS(Payments!$C$2:$C$301,Payments!$B$2:$B$301,A172))</f>
        <v/>
      </c>
      <c r="T172" s="27">
        <f>IF(A172="","",SUMIFS(Beneficiaries!$E$2:$E$301,Beneficiaries!$A$2:$A$301,A172,Beneficiaries!$D$2:$D$301,"Primary"))</f>
        <v/>
      </c>
      <c r="U172" s="28" t="n"/>
      <c r="V172" s="28" t="n"/>
    </row>
    <row r="173">
      <c r="A173" s="28" t="n"/>
      <c r="B173" s="28" t="n"/>
      <c r="C173" s="28" t="n"/>
      <c r="D173" s="28" t="n"/>
      <c r="E173" s="28" t="n"/>
      <c r="F173" s="28" t="n"/>
      <c r="G173" s="29" t="n"/>
      <c r="H173" s="30" t="n"/>
      <c r="I173" s="28" t="n"/>
      <c r="J173" s="22">
        <f>IF(OR(H173="",I173=""),"",IF(I173="Single Pay",0,H173*IFERROR(INDEX(Lists!$D$2:$D$6,MATCH(I173,Lists!$C$2:$C$6,0)),0)))</f>
        <v/>
      </c>
      <c r="K173" s="31" t="n"/>
      <c r="L173" s="31" t="n"/>
      <c r="M173" s="32" t="n"/>
      <c r="N173" s="25">
        <f>IF(OR(L173="",M173=""),"",EDATE(L173,12*M173))</f>
        <v/>
      </c>
      <c r="O173" s="28" t="n"/>
      <c r="P173" s="32" t="n"/>
      <c r="Q173" s="31" t="n"/>
      <c r="R173" s="26">
        <f>IF(Q173="","",Q173-TODAY())</f>
        <v/>
      </c>
      <c r="S173" s="22">
        <f>IF(A173="","",SUMIFS(Payments!$C$2:$C$301,Payments!$B$2:$B$301,A173))</f>
        <v/>
      </c>
      <c r="T173" s="27">
        <f>IF(A173="","",SUMIFS(Beneficiaries!$E$2:$E$301,Beneficiaries!$A$2:$A$301,A173,Beneficiaries!$D$2:$D$301,"Primary"))</f>
        <v/>
      </c>
      <c r="U173" s="28" t="n"/>
      <c r="V173" s="28" t="n"/>
    </row>
    <row r="174">
      <c r="A174" s="28" t="n"/>
      <c r="B174" s="28" t="n"/>
      <c r="C174" s="28" t="n"/>
      <c r="D174" s="28" t="n"/>
      <c r="E174" s="28" t="n"/>
      <c r="F174" s="28" t="n"/>
      <c r="G174" s="29" t="n"/>
      <c r="H174" s="30" t="n"/>
      <c r="I174" s="28" t="n"/>
      <c r="J174" s="22">
        <f>IF(OR(H174="",I174=""),"",IF(I174="Single Pay",0,H174*IFERROR(INDEX(Lists!$D$2:$D$6,MATCH(I174,Lists!$C$2:$C$6,0)),0)))</f>
        <v/>
      </c>
      <c r="K174" s="31" t="n"/>
      <c r="L174" s="31" t="n"/>
      <c r="M174" s="32" t="n"/>
      <c r="N174" s="25">
        <f>IF(OR(L174="",M174=""),"",EDATE(L174,12*M174))</f>
        <v/>
      </c>
      <c r="O174" s="28" t="n"/>
      <c r="P174" s="32" t="n"/>
      <c r="Q174" s="31" t="n"/>
      <c r="R174" s="26">
        <f>IF(Q174="","",Q174-TODAY())</f>
        <v/>
      </c>
      <c r="S174" s="22">
        <f>IF(A174="","",SUMIFS(Payments!$C$2:$C$301,Payments!$B$2:$B$301,A174))</f>
        <v/>
      </c>
      <c r="T174" s="27">
        <f>IF(A174="","",SUMIFS(Beneficiaries!$E$2:$E$301,Beneficiaries!$A$2:$A$301,A174,Beneficiaries!$D$2:$D$301,"Primary"))</f>
        <v/>
      </c>
      <c r="U174" s="28" t="n"/>
      <c r="V174" s="28" t="n"/>
    </row>
    <row r="175">
      <c r="A175" s="28" t="n"/>
      <c r="B175" s="28" t="n"/>
      <c r="C175" s="28" t="n"/>
      <c r="D175" s="28" t="n"/>
      <c r="E175" s="28" t="n"/>
      <c r="F175" s="28" t="n"/>
      <c r="G175" s="29" t="n"/>
      <c r="H175" s="30" t="n"/>
      <c r="I175" s="28" t="n"/>
      <c r="J175" s="22">
        <f>IF(OR(H175="",I175=""),"",IF(I175="Single Pay",0,H175*IFERROR(INDEX(Lists!$D$2:$D$6,MATCH(I175,Lists!$C$2:$C$6,0)),0)))</f>
        <v/>
      </c>
      <c r="K175" s="31" t="n"/>
      <c r="L175" s="31" t="n"/>
      <c r="M175" s="32" t="n"/>
      <c r="N175" s="25">
        <f>IF(OR(L175="",M175=""),"",EDATE(L175,12*M175))</f>
        <v/>
      </c>
      <c r="O175" s="28" t="n"/>
      <c r="P175" s="32" t="n"/>
      <c r="Q175" s="31" t="n"/>
      <c r="R175" s="26">
        <f>IF(Q175="","",Q175-TODAY())</f>
        <v/>
      </c>
      <c r="S175" s="22">
        <f>IF(A175="","",SUMIFS(Payments!$C$2:$C$301,Payments!$B$2:$B$301,A175))</f>
        <v/>
      </c>
      <c r="T175" s="27">
        <f>IF(A175="","",SUMIFS(Beneficiaries!$E$2:$E$301,Beneficiaries!$A$2:$A$301,A175,Beneficiaries!$D$2:$D$301,"Primary"))</f>
        <v/>
      </c>
      <c r="U175" s="28" t="n"/>
      <c r="V175" s="28" t="n"/>
    </row>
    <row r="176">
      <c r="A176" s="28" t="n"/>
      <c r="B176" s="28" t="n"/>
      <c r="C176" s="28" t="n"/>
      <c r="D176" s="28" t="n"/>
      <c r="E176" s="28" t="n"/>
      <c r="F176" s="28" t="n"/>
      <c r="G176" s="29" t="n"/>
      <c r="H176" s="30" t="n"/>
      <c r="I176" s="28" t="n"/>
      <c r="J176" s="22">
        <f>IF(OR(H176="",I176=""),"",IF(I176="Single Pay",0,H176*IFERROR(INDEX(Lists!$D$2:$D$6,MATCH(I176,Lists!$C$2:$C$6,0)),0)))</f>
        <v/>
      </c>
      <c r="K176" s="31" t="n"/>
      <c r="L176" s="31" t="n"/>
      <c r="M176" s="32" t="n"/>
      <c r="N176" s="25">
        <f>IF(OR(L176="",M176=""),"",EDATE(L176,12*M176))</f>
        <v/>
      </c>
      <c r="O176" s="28" t="n"/>
      <c r="P176" s="32" t="n"/>
      <c r="Q176" s="31" t="n"/>
      <c r="R176" s="26">
        <f>IF(Q176="","",Q176-TODAY())</f>
        <v/>
      </c>
      <c r="S176" s="22">
        <f>IF(A176="","",SUMIFS(Payments!$C$2:$C$301,Payments!$B$2:$B$301,A176))</f>
        <v/>
      </c>
      <c r="T176" s="27">
        <f>IF(A176="","",SUMIFS(Beneficiaries!$E$2:$E$301,Beneficiaries!$A$2:$A$301,A176,Beneficiaries!$D$2:$D$301,"Primary"))</f>
        <v/>
      </c>
      <c r="U176" s="28" t="n"/>
      <c r="V176" s="28" t="n"/>
    </row>
    <row r="177">
      <c r="A177" s="28" t="n"/>
      <c r="B177" s="28" t="n"/>
      <c r="C177" s="28" t="n"/>
      <c r="D177" s="28" t="n"/>
      <c r="E177" s="28" t="n"/>
      <c r="F177" s="28" t="n"/>
      <c r="G177" s="29" t="n"/>
      <c r="H177" s="30" t="n"/>
      <c r="I177" s="28" t="n"/>
      <c r="J177" s="22">
        <f>IF(OR(H177="",I177=""),"",IF(I177="Single Pay",0,H177*IFERROR(INDEX(Lists!$D$2:$D$6,MATCH(I177,Lists!$C$2:$C$6,0)),0)))</f>
        <v/>
      </c>
      <c r="K177" s="31" t="n"/>
      <c r="L177" s="31" t="n"/>
      <c r="M177" s="32" t="n"/>
      <c r="N177" s="25">
        <f>IF(OR(L177="",M177=""),"",EDATE(L177,12*M177))</f>
        <v/>
      </c>
      <c r="O177" s="28" t="n"/>
      <c r="P177" s="32" t="n"/>
      <c r="Q177" s="31" t="n"/>
      <c r="R177" s="26">
        <f>IF(Q177="","",Q177-TODAY())</f>
        <v/>
      </c>
      <c r="S177" s="22">
        <f>IF(A177="","",SUMIFS(Payments!$C$2:$C$301,Payments!$B$2:$B$301,A177))</f>
        <v/>
      </c>
      <c r="T177" s="27">
        <f>IF(A177="","",SUMIFS(Beneficiaries!$E$2:$E$301,Beneficiaries!$A$2:$A$301,A177,Beneficiaries!$D$2:$D$301,"Primary"))</f>
        <v/>
      </c>
      <c r="U177" s="28" t="n"/>
      <c r="V177" s="28" t="n"/>
    </row>
    <row r="178">
      <c r="A178" s="28" t="n"/>
      <c r="B178" s="28" t="n"/>
      <c r="C178" s="28" t="n"/>
      <c r="D178" s="28" t="n"/>
      <c r="E178" s="28" t="n"/>
      <c r="F178" s="28" t="n"/>
      <c r="G178" s="29" t="n"/>
      <c r="H178" s="30" t="n"/>
      <c r="I178" s="28" t="n"/>
      <c r="J178" s="22">
        <f>IF(OR(H178="",I178=""),"",IF(I178="Single Pay",0,H178*IFERROR(INDEX(Lists!$D$2:$D$6,MATCH(I178,Lists!$C$2:$C$6,0)),0)))</f>
        <v/>
      </c>
      <c r="K178" s="31" t="n"/>
      <c r="L178" s="31" t="n"/>
      <c r="M178" s="32" t="n"/>
      <c r="N178" s="25">
        <f>IF(OR(L178="",M178=""),"",EDATE(L178,12*M178))</f>
        <v/>
      </c>
      <c r="O178" s="28" t="n"/>
      <c r="P178" s="32" t="n"/>
      <c r="Q178" s="31" t="n"/>
      <c r="R178" s="26">
        <f>IF(Q178="","",Q178-TODAY())</f>
        <v/>
      </c>
      <c r="S178" s="22">
        <f>IF(A178="","",SUMIFS(Payments!$C$2:$C$301,Payments!$B$2:$B$301,A178))</f>
        <v/>
      </c>
      <c r="T178" s="27">
        <f>IF(A178="","",SUMIFS(Beneficiaries!$E$2:$E$301,Beneficiaries!$A$2:$A$301,A178,Beneficiaries!$D$2:$D$301,"Primary"))</f>
        <v/>
      </c>
      <c r="U178" s="28" t="n"/>
      <c r="V178" s="28" t="n"/>
    </row>
    <row r="179">
      <c r="A179" s="28" t="n"/>
      <c r="B179" s="28" t="n"/>
      <c r="C179" s="28" t="n"/>
      <c r="D179" s="28" t="n"/>
      <c r="E179" s="28" t="n"/>
      <c r="F179" s="28" t="n"/>
      <c r="G179" s="29" t="n"/>
      <c r="H179" s="30" t="n"/>
      <c r="I179" s="28" t="n"/>
      <c r="J179" s="22">
        <f>IF(OR(H179="",I179=""),"",IF(I179="Single Pay",0,H179*IFERROR(INDEX(Lists!$D$2:$D$6,MATCH(I179,Lists!$C$2:$C$6,0)),0)))</f>
        <v/>
      </c>
      <c r="K179" s="31" t="n"/>
      <c r="L179" s="31" t="n"/>
      <c r="M179" s="32" t="n"/>
      <c r="N179" s="25">
        <f>IF(OR(L179="",M179=""),"",EDATE(L179,12*M179))</f>
        <v/>
      </c>
      <c r="O179" s="28" t="n"/>
      <c r="P179" s="32" t="n"/>
      <c r="Q179" s="31" t="n"/>
      <c r="R179" s="26">
        <f>IF(Q179="","",Q179-TODAY())</f>
        <v/>
      </c>
      <c r="S179" s="22">
        <f>IF(A179="","",SUMIFS(Payments!$C$2:$C$301,Payments!$B$2:$B$301,A179))</f>
        <v/>
      </c>
      <c r="T179" s="27">
        <f>IF(A179="","",SUMIFS(Beneficiaries!$E$2:$E$301,Beneficiaries!$A$2:$A$301,A179,Beneficiaries!$D$2:$D$301,"Primary"))</f>
        <v/>
      </c>
      <c r="U179" s="28" t="n"/>
      <c r="V179" s="28" t="n"/>
    </row>
    <row r="180">
      <c r="A180" s="28" t="n"/>
      <c r="B180" s="28" t="n"/>
      <c r="C180" s="28" t="n"/>
      <c r="D180" s="28" t="n"/>
      <c r="E180" s="28" t="n"/>
      <c r="F180" s="28" t="n"/>
      <c r="G180" s="29" t="n"/>
      <c r="H180" s="30" t="n"/>
      <c r="I180" s="28" t="n"/>
      <c r="J180" s="22">
        <f>IF(OR(H180="",I180=""),"",IF(I180="Single Pay",0,H180*IFERROR(INDEX(Lists!$D$2:$D$6,MATCH(I180,Lists!$C$2:$C$6,0)),0)))</f>
        <v/>
      </c>
      <c r="K180" s="31" t="n"/>
      <c r="L180" s="31" t="n"/>
      <c r="M180" s="32" t="n"/>
      <c r="N180" s="25">
        <f>IF(OR(L180="",M180=""),"",EDATE(L180,12*M180))</f>
        <v/>
      </c>
      <c r="O180" s="28" t="n"/>
      <c r="P180" s="32" t="n"/>
      <c r="Q180" s="31" t="n"/>
      <c r="R180" s="26">
        <f>IF(Q180="","",Q180-TODAY())</f>
        <v/>
      </c>
      <c r="S180" s="22">
        <f>IF(A180="","",SUMIFS(Payments!$C$2:$C$301,Payments!$B$2:$B$301,A180))</f>
        <v/>
      </c>
      <c r="T180" s="27">
        <f>IF(A180="","",SUMIFS(Beneficiaries!$E$2:$E$301,Beneficiaries!$A$2:$A$301,A180,Beneficiaries!$D$2:$D$301,"Primary"))</f>
        <v/>
      </c>
      <c r="U180" s="28" t="n"/>
      <c r="V180" s="28" t="n"/>
    </row>
    <row r="181">
      <c r="A181" s="28" t="n"/>
      <c r="B181" s="28" t="n"/>
      <c r="C181" s="28" t="n"/>
      <c r="D181" s="28" t="n"/>
      <c r="E181" s="28" t="n"/>
      <c r="F181" s="28" t="n"/>
      <c r="G181" s="29" t="n"/>
      <c r="H181" s="30" t="n"/>
      <c r="I181" s="28" t="n"/>
      <c r="J181" s="22">
        <f>IF(OR(H181="",I181=""),"",IF(I181="Single Pay",0,H181*IFERROR(INDEX(Lists!$D$2:$D$6,MATCH(I181,Lists!$C$2:$C$6,0)),0)))</f>
        <v/>
      </c>
      <c r="K181" s="31" t="n"/>
      <c r="L181" s="31" t="n"/>
      <c r="M181" s="32" t="n"/>
      <c r="N181" s="25">
        <f>IF(OR(L181="",M181=""),"",EDATE(L181,12*M181))</f>
        <v/>
      </c>
      <c r="O181" s="28" t="n"/>
      <c r="P181" s="32" t="n"/>
      <c r="Q181" s="31" t="n"/>
      <c r="R181" s="26">
        <f>IF(Q181="","",Q181-TODAY())</f>
        <v/>
      </c>
      <c r="S181" s="22">
        <f>IF(A181="","",SUMIFS(Payments!$C$2:$C$301,Payments!$B$2:$B$301,A181))</f>
        <v/>
      </c>
      <c r="T181" s="27">
        <f>IF(A181="","",SUMIFS(Beneficiaries!$E$2:$E$301,Beneficiaries!$A$2:$A$301,A181,Beneficiaries!$D$2:$D$301,"Primary"))</f>
        <v/>
      </c>
      <c r="U181" s="28" t="n"/>
      <c r="V181" s="28" t="n"/>
    </row>
    <row r="182">
      <c r="A182" s="28" t="n"/>
      <c r="B182" s="28" t="n"/>
      <c r="C182" s="28" t="n"/>
      <c r="D182" s="28" t="n"/>
      <c r="E182" s="28" t="n"/>
      <c r="F182" s="28" t="n"/>
      <c r="G182" s="29" t="n"/>
      <c r="H182" s="30" t="n"/>
      <c r="I182" s="28" t="n"/>
      <c r="J182" s="22">
        <f>IF(OR(H182="",I182=""),"",IF(I182="Single Pay",0,H182*IFERROR(INDEX(Lists!$D$2:$D$6,MATCH(I182,Lists!$C$2:$C$6,0)),0)))</f>
        <v/>
      </c>
      <c r="K182" s="31" t="n"/>
      <c r="L182" s="31" t="n"/>
      <c r="M182" s="32" t="n"/>
      <c r="N182" s="25">
        <f>IF(OR(L182="",M182=""),"",EDATE(L182,12*M182))</f>
        <v/>
      </c>
      <c r="O182" s="28" t="n"/>
      <c r="P182" s="32" t="n"/>
      <c r="Q182" s="31" t="n"/>
      <c r="R182" s="26">
        <f>IF(Q182="","",Q182-TODAY())</f>
        <v/>
      </c>
      <c r="S182" s="22">
        <f>IF(A182="","",SUMIFS(Payments!$C$2:$C$301,Payments!$B$2:$B$301,A182))</f>
        <v/>
      </c>
      <c r="T182" s="27">
        <f>IF(A182="","",SUMIFS(Beneficiaries!$E$2:$E$301,Beneficiaries!$A$2:$A$301,A182,Beneficiaries!$D$2:$D$301,"Primary"))</f>
        <v/>
      </c>
      <c r="U182" s="28" t="n"/>
      <c r="V182" s="28" t="n"/>
    </row>
    <row r="183">
      <c r="A183" s="28" t="n"/>
      <c r="B183" s="28" t="n"/>
      <c r="C183" s="28" t="n"/>
      <c r="D183" s="28" t="n"/>
      <c r="E183" s="28" t="n"/>
      <c r="F183" s="28" t="n"/>
      <c r="G183" s="29" t="n"/>
      <c r="H183" s="30" t="n"/>
      <c r="I183" s="28" t="n"/>
      <c r="J183" s="22">
        <f>IF(OR(H183="",I183=""),"",IF(I183="Single Pay",0,H183*IFERROR(INDEX(Lists!$D$2:$D$6,MATCH(I183,Lists!$C$2:$C$6,0)),0)))</f>
        <v/>
      </c>
      <c r="K183" s="31" t="n"/>
      <c r="L183" s="31" t="n"/>
      <c r="M183" s="32" t="n"/>
      <c r="N183" s="25">
        <f>IF(OR(L183="",M183=""),"",EDATE(L183,12*M183))</f>
        <v/>
      </c>
      <c r="O183" s="28" t="n"/>
      <c r="P183" s="32" t="n"/>
      <c r="Q183" s="31" t="n"/>
      <c r="R183" s="26">
        <f>IF(Q183="","",Q183-TODAY())</f>
        <v/>
      </c>
      <c r="S183" s="22">
        <f>IF(A183="","",SUMIFS(Payments!$C$2:$C$301,Payments!$B$2:$B$301,A183))</f>
        <v/>
      </c>
      <c r="T183" s="27">
        <f>IF(A183="","",SUMIFS(Beneficiaries!$E$2:$E$301,Beneficiaries!$A$2:$A$301,A183,Beneficiaries!$D$2:$D$301,"Primary"))</f>
        <v/>
      </c>
      <c r="U183" s="28" t="n"/>
      <c r="V183" s="28" t="n"/>
    </row>
    <row r="184">
      <c r="A184" s="28" t="n"/>
      <c r="B184" s="28" t="n"/>
      <c r="C184" s="28" t="n"/>
      <c r="D184" s="28" t="n"/>
      <c r="E184" s="28" t="n"/>
      <c r="F184" s="28" t="n"/>
      <c r="G184" s="29" t="n"/>
      <c r="H184" s="30" t="n"/>
      <c r="I184" s="28" t="n"/>
      <c r="J184" s="22">
        <f>IF(OR(H184="",I184=""),"",IF(I184="Single Pay",0,H184*IFERROR(INDEX(Lists!$D$2:$D$6,MATCH(I184,Lists!$C$2:$C$6,0)),0)))</f>
        <v/>
      </c>
      <c r="K184" s="31" t="n"/>
      <c r="L184" s="31" t="n"/>
      <c r="M184" s="32" t="n"/>
      <c r="N184" s="25">
        <f>IF(OR(L184="",M184=""),"",EDATE(L184,12*M184))</f>
        <v/>
      </c>
      <c r="O184" s="28" t="n"/>
      <c r="P184" s="32" t="n"/>
      <c r="Q184" s="31" t="n"/>
      <c r="R184" s="26">
        <f>IF(Q184="","",Q184-TODAY())</f>
        <v/>
      </c>
      <c r="S184" s="22">
        <f>IF(A184="","",SUMIFS(Payments!$C$2:$C$301,Payments!$B$2:$B$301,A184))</f>
        <v/>
      </c>
      <c r="T184" s="27">
        <f>IF(A184="","",SUMIFS(Beneficiaries!$E$2:$E$301,Beneficiaries!$A$2:$A$301,A184,Beneficiaries!$D$2:$D$301,"Primary"))</f>
        <v/>
      </c>
      <c r="U184" s="28" t="n"/>
      <c r="V184" s="28" t="n"/>
    </row>
    <row r="185">
      <c r="A185" s="28" t="n"/>
      <c r="B185" s="28" t="n"/>
      <c r="C185" s="28" t="n"/>
      <c r="D185" s="28" t="n"/>
      <c r="E185" s="28" t="n"/>
      <c r="F185" s="28" t="n"/>
      <c r="G185" s="29" t="n"/>
      <c r="H185" s="30" t="n"/>
      <c r="I185" s="28" t="n"/>
      <c r="J185" s="22">
        <f>IF(OR(H185="",I185=""),"",IF(I185="Single Pay",0,H185*IFERROR(INDEX(Lists!$D$2:$D$6,MATCH(I185,Lists!$C$2:$C$6,0)),0)))</f>
        <v/>
      </c>
      <c r="K185" s="31" t="n"/>
      <c r="L185" s="31" t="n"/>
      <c r="M185" s="32" t="n"/>
      <c r="N185" s="25">
        <f>IF(OR(L185="",M185=""),"",EDATE(L185,12*M185))</f>
        <v/>
      </c>
      <c r="O185" s="28" t="n"/>
      <c r="P185" s="32" t="n"/>
      <c r="Q185" s="31" t="n"/>
      <c r="R185" s="26">
        <f>IF(Q185="","",Q185-TODAY())</f>
        <v/>
      </c>
      <c r="S185" s="22">
        <f>IF(A185="","",SUMIFS(Payments!$C$2:$C$301,Payments!$B$2:$B$301,A185))</f>
        <v/>
      </c>
      <c r="T185" s="27">
        <f>IF(A185="","",SUMIFS(Beneficiaries!$E$2:$E$301,Beneficiaries!$A$2:$A$301,A185,Beneficiaries!$D$2:$D$301,"Primary"))</f>
        <v/>
      </c>
      <c r="U185" s="28" t="n"/>
      <c r="V185" s="28" t="n"/>
    </row>
    <row r="186">
      <c r="A186" s="28" t="n"/>
      <c r="B186" s="28" t="n"/>
      <c r="C186" s="28" t="n"/>
      <c r="D186" s="28" t="n"/>
      <c r="E186" s="28" t="n"/>
      <c r="F186" s="28" t="n"/>
      <c r="G186" s="29" t="n"/>
      <c r="H186" s="30" t="n"/>
      <c r="I186" s="28" t="n"/>
      <c r="J186" s="22">
        <f>IF(OR(H186="",I186=""),"",IF(I186="Single Pay",0,H186*IFERROR(INDEX(Lists!$D$2:$D$6,MATCH(I186,Lists!$C$2:$C$6,0)),0)))</f>
        <v/>
      </c>
      <c r="K186" s="31" t="n"/>
      <c r="L186" s="31" t="n"/>
      <c r="M186" s="32" t="n"/>
      <c r="N186" s="25">
        <f>IF(OR(L186="",M186=""),"",EDATE(L186,12*M186))</f>
        <v/>
      </c>
      <c r="O186" s="28" t="n"/>
      <c r="P186" s="32" t="n"/>
      <c r="Q186" s="31" t="n"/>
      <c r="R186" s="26">
        <f>IF(Q186="","",Q186-TODAY())</f>
        <v/>
      </c>
      <c r="S186" s="22">
        <f>IF(A186="","",SUMIFS(Payments!$C$2:$C$301,Payments!$B$2:$B$301,A186))</f>
        <v/>
      </c>
      <c r="T186" s="27">
        <f>IF(A186="","",SUMIFS(Beneficiaries!$E$2:$E$301,Beneficiaries!$A$2:$A$301,A186,Beneficiaries!$D$2:$D$301,"Primary"))</f>
        <v/>
      </c>
      <c r="U186" s="28" t="n"/>
      <c r="V186" s="28" t="n"/>
    </row>
    <row r="187">
      <c r="A187" s="28" t="n"/>
      <c r="B187" s="28" t="n"/>
      <c r="C187" s="28" t="n"/>
      <c r="D187" s="28" t="n"/>
      <c r="E187" s="28" t="n"/>
      <c r="F187" s="28" t="n"/>
      <c r="G187" s="29" t="n"/>
      <c r="H187" s="30" t="n"/>
      <c r="I187" s="28" t="n"/>
      <c r="J187" s="22">
        <f>IF(OR(H187="",I187=""),"",IF(I187="Single Pay",0,H187*IFERROR(INDEX(Lists!$D$2:$D$6,MATCH(I187,Lists!$C$2:$C$6,0)),0)))</f>
        <v/>
      </c>
      <c r="K187" s="31" t="n"/>
      <c r="L187" s="31" t="n"/>
      <c r="M187" s="32" t="n"/>
      <c r="N187" s="25">
        <f>IF(OR(L187="",M187=""),"",EDATE(L187,12*M187))</f>
        <v/>
      </c>
      <c r="O187" s="28" t="n"/>
      <c r="P187" s="32" t="n"/>
      <c r="Q187" s="31" t="n"/>
      <c r="R187" s="26">
        <f>IF(Q187="","",Q187-TODAY())</f>
        <v/>
      </c>
      <c r="S187" s="22">
        <f>IF(A187="","",SUMIFS(Payments!$C$2:$C$301,Payments!$B$2:$B$301,A187))</f>
        <v/>
      </c>
      <c r="T187" s="27">
        <f>IF(A187="","",SUMIFS(Beneficiaries!$E$2:$E$301,Beneficiaries!$A$2:$A$301,A187,Beneficiaries!$D$2:$D$301,"Primary"))</f>
        <v/>
      </c>
      <c r="U187" s="28" t="n"/>
      <c r="V187" s="28" t="n"/>
    </row>
    <row r="188">
      <c r="A188" s="28" t="n"/>
      <c r="B188" s="28" t="n"/>
      <c r="C188" s="28" t="n"/>
      <c r="D188" s="28" t="n"/>
      <c r="E188" s="28" t="n"/>
      <c r="F188" s="28" t="n"/>
      <c r="G188" s="29" t="n"/>
      <c r="H188" s="30" t="n"/>
      <c r="I188" s="28" t="n"/>
      <c r="J188" s="22">
        <f>IF(OR(H188="",I188=""),"",IF(I188="Single Pay",0,H188*IFERROR(INDEX(Lists!$D$2:$D$6,MATCH(I188,Lists!$C$2:$C$6,0)),0)))</f>
        <v/>
      </c>
      <c r="K188" s="31" t="n"/>
      <c r="L188" s="31" t="n"/>
      <c r="M188" s="32" t="n"/>
      <c r="N188" s="25">
        <f>IF(OR(L188="",M188=""),"",EDATE(L188,12*M188))</f>
        <v/>
      </c>
      <c r="O188" s="28" t="n"/>
      <c r="P188" s="32" t="n"/>
      <c r="Q188" s="31" t="n"/>
      <c r="R188" s="26">
        <f>IF(Q188="","",Q188-TODAY())</f>
        <v/>
      </c>
      <c r="S188" s="22">
        <f>IF(A188="","",SUMIFS(Payments!$C$2:$C$301,Payments!$B$2:$B$301,A188))</f>
        <v/>
      </c>
      <c r="T188" s="27">
        <f>IF(A188="","",SUMIFS(Beneficiaries!$E$2:$E$301,Beneficiaries!$A$2:$A$301,A188,Beneficiaries!$D$2:$D$301,"Primary"))</f>
        <v/>
      </c>
      <c r="U188" s="28" t="n"/>
      <c r="V188" s="28" t="n"/>
    </row>
    <row r="189">
      <c r="A189" s="28" t="n"/>
      <c r="B189" s="28" t="n"/>
      <c r="C189" s="28" t="n"/>
      <c r="D189" s="28" t="n"/>
      <c r="E189" s="28" t="n"/>
      <c r="F189" s="28" t="n"/>
      <c r="G189" s="29" t="n"/>
      <c r="H189" s="30" t="n"/>
      <c r="I189" s="28" t="n"/>
      <c r="J189" s="22">
        <f>IF(OR(H189="",I189=""),"",IF(I189="Single Pay",0,H189*IFERROR(INDEX(Lists!$D$2:$D$6,MATCH(I189,Lists!$C$2:$C$6,0)),0)))</f>
        <v/>
      </c>
      <c r="K189" s="31" t="n"/>
      <c r="L189" s="31" t="n"/>
      <c r="M189" s="32" t="n"/>
      <c r="N189" s="25">
        <f>IF(OR(L189="",M189=""),"",EDATE(L189,12*M189))</f>
        <v/>
      </c>
      <c r="O189" s="28" t="n"/>
      <c r="P189" s="32" t="n"/>
      <c r="Q189" s="31" t="n"/>
      <c r="R189" s="26">
        <f>IF(Q189="","",Q189-TODAY())</f>
        <v/>
      </c>
      <c r="S189" s="22">
        <f>IF(A189="","",SUMIFS(Payments!$C$2:$C$301,Payments!$B$2:$B$301,A189))</f>
        <v/>
      </c>
      <c r="T189" s="27">
        <f>IF(A189="","",SUMIFS(Beneficiaries!$E$2:$E$301,Beneficiaries!$A$2:$A$301,A189,Beneficiaries!$D$2:$D$301,"Primary"))</f>
        <v/>
      </c>
      <c r="U189" s="28" t="n"/>
      <c r="V189" s="28" t="n"/>
    </row>
    <row r="190">
      <c r="A190" s="28" t="n"/>
      <c r="B190" s="28" t="n"/>
      <c r="C190" s="28" t="n"/>
      <c r="D190" s="28" t="n"/>
      <c r="E190" s="28" t="n"/>
      <c r="F190" s="28" t="n"/>
      <c r="G190" s="29" t="n"/>
      <c r="H190" s="30" t="n"/>
      <c r="I190" s="28" t="n"/>
      <c r="J190" s="22">
        <f>IF(OR(H190="",I190=""),"",IF(I190="Single Pay",0,H190*IFERROR(INDEX(Lists!$D$2:$D$6,MATCH(I190,Lists!$C$2:$C$6,0)),0)))</f>
        <v/>
      </c>
      <c r="K190" s="31" t="n"/>
      <c r="L190" s="31" t="n"/>
      <c r="M190" s="32" t="n"/>
      <c r="N190" s="25">
        <f>IF(OR(L190="",M190=""),"",EDATE(L190,12*M190))</f>
        <v/>
      </c>
      <c r="O190" s="28" t="n"/>
      <c r="P190" s="32" t="n"/>
      <c r="Q190" s="31" t="n"/>
      <c r="R190" s="26">
        <f>IF(Q190="","",Q190-TODAY())</f>
        <v/>
      </c>
      <c r="S190" s="22">
        <f>IF(A190="","",SUMIFS(Payments!$C$2:$C$301,Payments!$B$2:$B$301,A190))</f>
        <v/>
      </c>
      <c r="T190" s="27">
        <f>IF(A190="","",SUMIFS(Beneficiaries!$E$2:$E$301,Beneficiaries!$A$2:$A$301,A190,Beneficiaries!$D$2:$D$301,"Primary"))</f>
        <v/>
      </c>
      <c r="U190" s="28" t="n"/>
      <c r="V190" s="28" t="n"/>
    </row>
    <row r="191">
      <c r="A191" s="28" t="n"/>
      <c r="B191" s="28" t="n"/>
      <c r="C191" s="28" t="n"/>
      <c r="D191" s="28" t="n"/>
      <c r="E191" s="28" t="n"/>
      <c r="F191" s="28" t="n"/>
      <c r="G191" s="29" t="n"/>
      <c r="H191" s="30" t="n"/>
      <c r="I191" s="28" t="n"/>
      <c r="J191" s="22">
        <f>IF(OR(H191="",I191=""),"",IF(I191="Single Pay",0,H191*IFERROR(INDEX(Lists!$D$2:$D$6,MATCH(I191,Lists!$C$2:$C$6,0)),0)))</f>
        <v/>
      </c>
      <c r="K191" s="31" t="n"/>
      <c r="L191" s="31" t="n"/>
      <c r="M191" s="32" t="n"/>
      <c r="N191" s="25">
        <f>IF(OR(L191="",M191=""),"",EDATE(L191,12*M191))</f>
        <v/>
      </c>
      <c r="O191" s="28" t="n"/>
      <c r="P191" s="32" t="n"/>
      <c r="Q191" s="31" t="n"/>
      <c r="R191" s="26">
        <f>IF(Q191="","",Q191-TODAY())</f>
        <v/>
      </c>
      <c r="S191" s="22">
        <f>IF(A191="","",SUMIFS(Payments!$C$2:$C$301,Payments!$B$2:$B$301,A191))</f>
        <v/>
      </c>
      <c r="T191" s="27">
        <f>IF(A191="","",SUMIFS(Beneficiaries!$E$2:$E$301,Beneficiaries!$A$2:$A$301,A191,Beneficiaries!$D$2:$D$301,"Primary"))</f>
        <v/>
      </c>
      <c r="U191" s="28" t="n"/>
      <c r="V191" s="28" t="n"/>
    </row>
    <row r="192">
      <c r="A192" s="28" t="n"/>
      <c r="B192" s="28" t="n"/>
      <c r="C192" s="28" t="n"/>
      <c r="D192" s="28" t="n"/>
      <c r="E192" s="28" t="n"/>
      <c r="F192" s="28" t="n"/>
      <c r="G192" s="29" t="n"/>
      <c r="H192" s="30" t="n"/>
      <c r="I192" s="28" t="n"/>
      <c r="J192" s="22">
        <f>IF(OR(H192="",I192=""),"",IF(I192="Single Pay",0,H192*IFERROR(INDEX(Lists!$D$2:$D$6,MATCH(I192,Lists!$C$2:$C$6,0)),0)))</f>
        <v/>
      </c>
      <c r="K192" s="31" t="n"/>
      <c r="L192" s="31" t="n"/>
      <c r="M192" s="32" t="n"/>
      <c r="N192" s="25">
        <f>IF(OR(L192="",M192=""),"",EDATE(L192,12*M192))</f>
        <v/>
      </c>
      <c r="O192" s="28" t="n"/>
      <c r="P192" s="32" t="n"/>
      <c r="Q192" s="31" t="n"/>
      <c r="R192" s="26">
        <f>IF(Q192="","",Q192-TODAY())</f>
        <v/>
      </c>
      <c r="S192" s="22">
        <f>IF(A192="","",SUMIFS(Payments!$C$2:$C$301,Payments!$B$2:$B$301,A192))</f>
        <v/>
      </c>
      <c r="T192" s="27">
        <f>IF(A192="","",SUMIFS(Beneficiaries!$E$2:$E$301,Beneficiaries!$A$2:$A$301,A192,Beneficiaries!$D$2:$D$301,"Primary"))</f>
        <v/>
      </c>
      <c r="U192" s="28" t="n"/>
      <c r="V192" s="28" t="n"/>
    </row>
    <row r="193">
      <c r="A193" s="28" t="n"/>
      <c r="B193" s="28" t="n"/>
      <c r="C193" s="28" t="n"/>
      <c r="D193" s="28" t="n"/>
      <c r="E193" s="28" t="n"/>
      <c r="F193" s="28" t="n"/>
      <c r="G193" s="29" t="n"/>
      <c r="H193" s="30" t="n"/>
      <c r="I193" s="28" t="n"/>
      <c r="J193" s="22">
        <f>IF(OR(H193="",I193=""),"",IF(I193="Single Pay",0,H193*IFERROR(INDEX(Lists!$D$2:$D$6,MATCH(I193,Lists!$C$2:$C$6,0)),0)))</f>
        <v/>
      </c>
      <c r="K193" s="31" t="n"/>
      <c r="L193" s="31" t="n"/>
      <c r="M193" s="32" t="n"/>
      <c r="N193" s="25">
        <f>IF(OR(L193="",M193=""),"",EDATE(L193,12*M193))</f>
        <v/>
      </c>
      <c r="O193" s="28" t="n"/>
      <c r="P193" s="32" t="n"/>
      <c r="Q193" s="31" t="n"/>
      <c r="R193" s="26">
        <f>IF(Q193="","",Q193-TODAY())</f>
        <v/>
      </c>
      <c r="S193" s="22">
        <f>IF(A193="","",SUMIFS(Payments!$C$2:$C$301,Payments!$B$2:$B$301,A193))</f>
        <v/>
      </c>
      <c r="T193" s="27">
        <f>IF(A193="","",SUMIFS(Beneficiaries!$E$2:$E$301,Beneficiaries!$A$2:$A$301,A193,Beneficiaries!$D$2:$D$301,"Primary"))</f>
        <v/>
      </c>
      <c r="U193" s="28" t="n"/>
      <c r="V193" s="28" t="n"/>
    </row>
    <row r="194">
      <c r="A194" s="28" t="n"/>
      <c r="B194" s="28" t="n"/>
      <c r="C194" s="28" t="n"/>
      <c r="D194" s="28" t="n"/>
      <c r="E194" s="28" t="n"/>
      <c r="F194" s="28" t="n"/>
      <c r="G194" s="29" t="n"/>
      <c r="H194" s="30" t="n"/>
      <c r="I194" s="28" t="n"/>
      <c r="J194" s="22">
        <f>IF(OR(H194="",I194=""),"",IF(I194="Single Pay",0,H194*IFERROR(INDEX(Lists!$D$2:$D$6,MATCH(I194,Lists!$C$2:$C$6,0)),0)))</f>
        <v/>
      </c>
      <c r="K194" s="31" t="n"/>
      <c r="L194" s="31" t="n"/>
      <c r="M194" s="32" t="n"/>
      <c r="N194" s="25">
        <f>IF(OR(L194="",M194=""),"",EDATE(L194,12*M194))</f>
        <v/>
      </c>
      <c r="O194" s="28" t="n"/>
      <c r="P194" s="32" t="n"/>
      <c r="Q194" s="31" t="n"/>
      <c r="R194" s="26">
        <f>IF(Q194="","",Q194-TODAY())</f>
        <v/>
      </c>
      <c r="S194" s="22">
        <f>IF(A194="","",SUMIFS(Payments!$C$2:$C$301,Payments!$B$2:$B$301,A194))</f>
        <v/>
      </c>
      <c r="T194" s="27">
        <f>IF(A194="","",SUMIFS(Beneficiaries!$E$2:$E$301,Beneficiaries!$A$2:$A$301,A194,Beneficiaries!$D$2:$D$301,"Primary"))</f>
        <v/>
      </c>
      <c r="U194" s="28" t="n"/>
      <c r="V194" s="28" t="n"/>
    </row>
    <row r="195">
      <c r="A195" s="28" t="n"/>
      <c r="B195" s="28" t="n"/>
      <c r="C195" s="28" t="n"/>
      <c r="D195" s="28" t="n"/>
      <c r="E195" s="28" t="n"/>
      <c r="F195" s="28" t="n"/>
      <c r="G195" s="29" t="n"/>
      <c r="H195" s="30" t="n"/>
      <c r="I195" s="28" t="n"/>
      <c r="J195" s="22">
        <f>IF(OR(H195="",I195=""),"",IF(I195="Single Pay",0,H195*IFERROR(INDEX(Lists!$D$2:$D$6,MATCH(I195,Lists!$C$2:$C$6,0)),0)))</f>
        <v/>
      </c>
      <c r="K195" s="31" t="n"/>
      <c r="L195" s="31" t="n"/>
      <c r="M195" s="32" t="n"/>
      <c r="N195" s="25">
        <f>IF(OR(L195="",M195=""),"",EDATE(L195,12*M195))</f>
        <v/>
      </c>
      <c r="O195" s="28" t="n"/>
      <c r="P195" s="32" t="n"/>
      <c r="Q195" s="31" t="n"/>
      <c r="R195" s="26">
        <f>IF(Q195="","",Q195-TODAY())</f>
        <v/>
      </c>
      <c r="S195" s="22">
        <f>IF(A195="","",SUMIFS(Payments!$C$2:$C$301,Payments!$B$2:$B$301,A195))</f>
        <v/>
      </c>
      <c r="T195" s="27">
        <f>IF(A195="","",SUMIFS(Beneficiaries!$E$2:$E$301,Beneficiaries!$A$2:$A$301,A195,Beneficiaries!$D$2:$D$301,"Primary"))</f>
        <v/>
      </c>
      <c r="U195" s="28" t="n"/>
      <c r="V195" s="28" t="n"/>
    </row>
    <row r="196">
      <c r="A196" s="28" t="n"/>
      <c r="B196" s="28" t="n"/>
      <c r="C196" s="28" t="n"/>
      <c r="D196" s="28" t="n"/>
      <c r="E196" s="28" t="n"/>
      <c r="F196" s="28" t="n"/>
      <c r="G196" s="29" t="n"/>
      <c r="H196" s="30" t="n"/>
      <c r="I196" s="28" t="n"/>
      <c r="J196" s="22">
        <f>IF(OR(H196="",I196=""),"",IF(I196="Single Pay",0,H196*IFERROR(INDEX(Lists!$D$2:$D$6,MATCH(I196,Lists!$C$2:$C$6,0)),0)))</f>
        <v/>
      </c>
      <c r="K196" s="31" t="n"/>
      <c r="L196" s="31" t="n"/>
      <c r="M196" s="32" t="n"/>
      <c r="N196" s="25">
        <f>IF(OR(L196="",M196=""),"",EDATE(L196,12*M196))</f>
        <v/>
      </c>
      <c r="O196" s="28" t="n"/>
      <c r="P196" s="32" t="n"/>
      <c r="Q196" s="31" t="n"/>
      <c r="R196" s="26">
        <f>IF(Q196="","",Q196-TODAY())</f>
        <v/>
      </c>
      <c r="S196" s="22">
        <f>IF(A196="","",SUMIFS(Payments!$C$2:$C$301,Payments!$B$2:$B$301,A196))</f>
        <v/>
      </c>
      <c r="T196" s="27">
        <f>IF(A196="","",SUMIFS(Beneficiaries!$E$2:$E$301,Beneficiaries!$A$2:$A$301,A196,Beneficiaries!$D$2:$D$301,"Primary"))</f>
        <v/>
      </c>
      <c r="U196" s="28" t="n"/>
      <c r="V196" s="28" t="n"/>
    </row>
    <row r="197">
      <c r="A197" s="28" t="n"/>
      <c r="B197" s="28" t="n"/>
      <c r="C197" s="28" t="n"/>
      <c r="D197" s="28" t="n"/>
      <c r="E197" s="28" t="n"/>
      <c r="F197" s="28" t="n"/>
      <c r="G197" s="29" t="n"/>
      <c r="H197" s="30" t="n"/>
      <c r="I197" s="28" t="n"/>
      <c r="J197" s="22">
        <f>IF(OR(H197="",I197=""),"",IF(I197="Single Pay",0,H197*IFERROR(INDEX(Lists!$D$2:$D$6,MATCH(I197,Lists!$C$2:$C$6,0)),0)))</f>
        <v/>
      </c>
      <c r="K197" s="31" t="n"/>
      <c r="L197" s="31" t="n"/>
      <c r="M197" s="32" t="n"/>
      <c r="N197" s="25">
        <f>IF(OR(L197="",M197=""),"",EDATE(L197,12*M197))</f>
        <v/>
      </c>
      <c r="O197" s="28" t="n"/>
      <c r="P197" s="32" t="n"/>
      <c r="Q197" s="31" t="n"/>
      <c r="R197" s="26">
        <f>IF(Q197="","",Q197-TODAY())</f>
        <v/>
      </c>
      <c r="S197" s="22">
        <f>IF(A197="","",SUMIFS(Payments!$C$2:$C$301,Payments!$B$2:$B$301,A197))</f>
        <v/>
      </c>
      <c r="T197" s="27">
        <f>IF(A197="","",SUMIFS(Beneficiaries!$E$2:$E$301,Beneficiaries!$A$2:$A$301,A197,Beneficiaries!$D$2:$D$301,"Primary"))</f>
        <v/>
      </c>
      <c r="U197" s="28" t="n"/>
      <c r="V197" s="28" t="n"/>
    </row>
    <row r="198">
      <c r="A198" s="28" t="n"/>
      <c r="B198" s="28" t="n"/>
      <c r="C198" s="28" t="n"/>
      <c r="D198" s="28" t="n"/>
      <c r="E198" s="28" t="n"/>
      <c r="F198" s="28" t="n"/>
      <c r="G198" s="29" t="n"/>
      <c r="H198" s="30" t="n"/>
      <c r="I198" s="28" t="n"/>
      <c r="J198" s="22">
        <f>IF(OR(H198="",I198=""),"",IF(I198="Single Pay",0,H198*IFERROR(INDEX(Lists!$D$2:$D$6,MATCH(I198,Lists!$C$2:$C$6,0)),0)))</f>
        <v/>
      </c>
      <c r="K198" s="31" t="n"/>
      <c r="L198" s="31" t="n"/>
      <c r="M198" s="32" t="n"/>
      <c r="N198" s="25">
        <f>IF(OR(L198="",M198=""),"",EDATE(L198,12*M198))</f>
        <v/>
      </c>
      <c r="O198" s="28" t="n"/>
      <c r="P198" s="32" t="n"/>
      <c r="Q198" s="31" t="n"/>
      <c r="R198" s="26">
        <f>IF(Q198="","",Q198-TODAY())</f>
        <v/>
      </c>
      <c r="S198" s="22">
        <f>IF(A198="","",SUMIFS(Payments!$C$2:$C$301,Payments!$B$2:$B$301,A198))</f>
        <v/>
      </c>
      <c r="T198" s="27">
        <f>IF(A198="","",SUMIFS(Beneficiaries!$E$2:$E$301,Beneficiaries!$A$2:$A$301,A198,Beneficiaries!$D$2:$D$301,"Primary"))</f>
        <v/>
      </c>
      <c r="U198" s="28" t="n"/>
      <c r="V198" s="28" t="n"/>
    </row>
    <row r="199">
      <c r="A199" s="28" t="n"/>
      <c r="B199" s="28" t="n"/>
      <c r="C199" s="28" t="n"/>
      <c r="D199" s="28" t="n"/>
      <c r="E199" s="28" t="n"/>
      <c r="F199" s="28" t="n"/>
      <c r="G199" s="29" t="n"/>
      <c r="H199" s="30" t="n"/>
      <c r="I199" s="28" t="n"/>
      <c r="J199" s="22">
        <f>IF(OR(H199="",I199=""),"",IF(I199="Single Pay",0,H199*IFERROR(INDEX(Lists!$D$2:$D$6,MATCH(I199,Lists!$C$2:$C$6,0)),0)))</f>
        <v/>
      </c>
      <c r="K199" s="31" t="n"/>
      <c r="L199" s="31" t="n"/>
      <c r="M199" s="32" t="n"/>
      <c r="N199" s="25">
        <f>IF(OR(L199="",M199=""),"",EDATE(L199,12*M199))</f>
        <v/>
      </c>
      <c r="O199" s="28" t="n"/>
      <c r="P199" s="32" t="n"/>
      <c r="Q199" s="31" t="n"/>
      <c r="R199" s="26">
        <f>IF(Q199="","",Q199-TODAY())</f>
        <v/>
      </c>
      <c r="S199" s="22">
        <f>IF(A199="","",SUMIFS(Payments!$C$2:$C$301,Payments!$B$2:$B$301,A199))</f>
        <v/>
      </c>
      <c r="T199" s="27">
        <f>IF(A199="","",SUMIFS(Beneficiaries!$E$2:$E$301,Beneficiaries!$A$2:$A$301,A199,Beneficiaries!$D$2:$D$301,"Primary"))</f>
        <v/>
      </c>
      <c r="U199" s="28" t="n"/>
      <c r="V199" s="28" t="n"/>
    </row>
    <row r="200">
      <c r="A200" s="28" t="n"/>
      <c r="B200" s="28" t="n"/>
      <c r="C200" s="28" t="n"/>
      <c r="D200" s="28" t="n"/>
      <c r="E200" s="28" t="n"/>
      <c r="F200" s="28" t="n"/>
      <c r="G200" s="29" t="n"/>
      <c r="H200" s="30" t="n"/>
      <c r="I200" s="28" t="n"/>
      <c r="J200" s="22">
        <f>IF(OR(H200="",I200=""),"",IF(I200="Single Pay",0,H200*IFERROR(INDEX(Lists!$D$2:$D$6,MATCH(I200,Lists!$C$2:$C$6,0)),0)))</f>
        <v/>
      </c>
      <c r="K200" s="31" t="n"/>
      <c r="L200" s="31" t="n"/>
      <c r="M200" s="32" t="n"/>
      <c r="N200" s="25">
        <f>IF(OR(L200="",M200=""),"",EDATE(L200,12*M200))</f>
        <v/>
      </c>
      <c r="O200" s="28" t="n"/>
      <c r="P200" s="32" t="n"/>
      <c r="Q200" s="31" t="n"/>
      <c r="R200" s="26">
        <f>IF(Q200="","",Q200-TODAY())</f>
        <v/>
      </c>
      <c r="S200" s="22">
        <f>IF(A200="","",SUMIFS(Payments!$C$2:$C$301,Payments!$B$2:$B$301,A200))</f>
        <v/>
      </c>
      <c r="T200" s="27">
        <f>IF(A200="","",SUMIFS(Beneficiaries!$E$2:$E$301,Beneficiaries!$A$2:$A$301,A200,Beneficiaries!$D$2:$D$301,"Primary"))</f>
        <v/>
      </c>
      <c r="U200" s="28" t="n"/>
      <c r="V200" s="28" t="n"/>
    </row>
    <row r="201">
      <c r="A201" s="28" t="n"/>
      <c r="B201" s="28" t="n"/>
      <c r="C201" s="28" t="n"/>
      <c r="D201" s="28" t="n"/>
      <c r="E201" s="28" t="n"/>
      <c r="F201" s="28" t="n"/>
      <c r="G201" s="29" t="n"/>
      <c r="H201" s="30" t="n"/>
      <c r="I201" s="28" t="n"/>
      <c r="J201" s="22">
        <f>IF(OR(H201="",I201=""),"",IF(I201="Single Pay",0,H201*IFERROR(INDEX(Lists!$D$2:$D$6,MATCH(I201,Lists!$C$2:$C$6,0)),0)))</f>
        <v/>
      </c>
      <c r="K201" s="31" t="n"/>
      <c r="L201" s="31" t="n"/>
      <c r="M201" s="32" t="n"/>
      <c r="N201" s="25">
        <f>IF(OR(L201="",M201=""),"",EDATE(L201,12*M201))</f>
        <v/>
      </c>
      <c r="O201" s="28" t="n"/>
      <c r="P201" s="32" t="n"/>
      <c r="Q201" s="31" t="n"/>
      <c r="R201" s="26">
        <f>IF(Q201="","",Q201-TODAY())</f>
        <v/>
      </c>
      <c r="S201" s="22">
        <f>IF(A201="","",SUMIFS(Payments!$C$2:$C$301,Payments!$B$2:$B$301,A201))</f>
        <v/>
      </c>
      <c r="T201" s="27">
        <f>IF(A201="","",SUMIFS(Beneficiaries!$E$2:$E$301,Beneficiaries!$A$2:$A$301,A201,Beneficiaries!$D$2:$D$301,"Primary"))</f>
        <v/>
      </c>
      <c r="U201" s="28" t="n"/>
      <c r="V201" s="28" t="n"/>
    </row>
    <row r="202">
      <c r="A202" s="28" t="n"/>
      <c r="B202" s="28" t="n"/>
      <c r="C202" s="28" t="n"/>
      <c r="D202" s="28" t="n"/>
      <c r="E202" s="28" t="n"/>
      <c r="F202" s="28" t="n"/>
      <c r="G202" s="29" t="n"/>
      <c r="H202" s="30" t="n"/>
      <c r="I202" s="28" t="n"/>
      <c r="J202" s="22">
        <f>IF(OR(H202="",I202=""),"",IF(I202="Single Pay",0,H202*IFERROR(INDEX(Lists!$D$2:$D$6,MATCH(I202,Lists!$C$2:$C$6,0)),0)))</f>
        <v/>
      </c>
      <c r="K202" s="31" t="n"/>
      <c r="L202" s="31" t="n"/>
      <c r="M202" s="32" t="n"/>
      <c r="N202" s="25">
        <f>IF(OR(L202="",M202=""),"",EDATE(L202,12*M202))</f>
        <v/>
      </c>
      <c r="O202" s="28" t="n"/>
      <c r="P202" s="32" t="n"/>
      <c r="Q202" s="31" t="n"/>
      <c r="R202" s="26">
        <f>IF(Q202="","",Q202-TODAY())</f>
        <v/>
      </c>
      <c r="S202" s="22">
        <f>IF(A202="","",SUMIFS(Payments!$C$2:$C$301,Payments!$B$2:$B$301,A202))</f>
        <v/>
      </c>
      <c r="T202" s="27">
        <f>IF(A202="","",SUMIFS(Beneficiaries!$E$2:$E$301,Beneficiaries!$A$2:$A$301,A202,Beneficiaries!$D$2:$D$301,"Primary"))</f>
        <v/>
      </c>
      <c r="U202" s="28" t="n"/>
      <c r="V202" s="28" t="n"/>
    </row>
    <row r="203">
      <c r="A203" s="28" t="n"/>
      <c r="B203" s="28" t="n"/>
      <c r="C203" s="28" t="n"/>
      <c r="D203" s="28" t="n"/>
      <c r="E203" s="28" t="n"/>
      <c r="F203" s="28" t="n"/>
      <c r="G203" s="29" t="n"/>
      <c r="H203" s="30" t="n"/>
      <c r="I203" s="28" t="n"/>
      <c r="J203" s="22">
        <f>IF(OR(H203="",I203=""),"",IF(I203="Single Pay",0,H203*IFERROR(INDEX(Lists!$D$2:$D$6,MATCH(I203,Lists!$C$2:$C$6,0)),0)))</f>
        <v/>
      </c>
      <c r="K203" s="31" t="n"/>
      <c r="L203" s="31" t="n"/>
      <c r="M203" s="32" t="n"/>
      <c r="N203" s="25">
        <f>IF(OR(L203="",M203=""),"",EDATE(L203,12*M203))</f>
        <v/>
      </c>
      <c r="O203" s="28" t="n"/>
      <c r="P203" s="32" t="n"/>
      <c r="Q203" s="31" t="n"/>
      <c r="R203" s="26">
        <f>IF(Q203="","",Q203-TODAY())</f>
        <v/>
      </c>
      <c r="S203" s="22">
        <f>IF(A203="","",SUMIFS(Payments!$C$2:$C$301,Payments!$B$2:$B$301,A203))</f>
        <v/>
      </c>
      <c r="T203" s="27">
        <f>IF(A203="","",SUMIFS(Beneficiaries!$E$2:$E$301,Beneficiaries!$A$2:$A$301,A203,Beneficiaries!$D$2:$D$301,"Primary"))</f>
        <v/>
      </c>
      <c r="U203" s="28" t="n"/>
      <c r="V203" s="28" t="n"/>
    </row>
    <row r="204">
      <c r="A204" s="28" t="n"/>
      <c r="B204" s="28" t="n"/>
      <c r="C204" s="28" t="n"/>
      <c r="D204" s="28" t="n"/>
      <c r="E204" s="28" t="n"/>
      <c r="F204" s="28" t="n"/>
      <c r="G204" s="29" t="n"/>
      <c r="H204" s="30" t="n"/>
      <c r="I204" s="28" t="n"/>
      <c r="J204" s="22">
        <f>IF(OR(H204="",I204=""),"",IF(I204="Single Pay",0,H204*IFERROR(INDEX(Lists!$D$2:$D$6,MATCH(I204,Lists!$C$2:$C$6,0)),0)))</f>
        <v/>
      </c>
      <c r="K204" s="31" t="n"/>
      <c r="L204" s="31" t="n"/>
      <c r="M204" s="32" t="n"/>
      <c r="N204" s="25">
        <f>IF(OR(L204="",M204=""),"",EDATE(L204,12*M204))</f>
        <v/>
      </c>
      <c r="O204" s="28" t="n"/>
      <c r="P204" s="32" t="n"/>
      <c r="Q204" s="31" t="n"/>
      <c r="R204" s="26">
        <f>IF(Q204="","",Q204-TODAY())</f>
        <v/>
      </c>
      <c r="S204" s="22">
        <f>IF(A204="","",SUMIFS(Payments!$C$2:$C$301,Payments!$B$2:$B$301,A204))</f>
        <v/>
      </c>
      <c r="T204" s="27">
        <f>IF(A204="","",SUMIFS(Beneficiaries!$E$2:$E$301,Beneficiaries!$A$2:$A$301,A204,Beneficiaries!$D$2:$D$301,"Primary"))</f>
        <v/>
      </c>
      <c r="U204" s="28" t="n"/>
      <c r="V204" s="28" t="n"/>
    </row>
    <row r="205">
      <c r="A205" s="28" t="n"/>
      <c r="B205" s="28" t="n"/>
      <c r="C205" s="28" t="n"/>
      <c r="D205" s="28" t="n"/>
      <c r="E205" s="28" t="n"/>
      <c r="F205" s="28" t="n"/>
      <c r="G205" s="29" t="n"/>
      <c r="H205" s="30" t="n"/>
      <c r="I205" s="28" t="n"/>
      <c r="J205" s="22">
        <f>IF(OR(H205="",I205=""),"",IF(I205="Single Pay",0,H205*IFERROR(INDEX(Lists!$D$2:$D$6,MATCH(I205,Lists!$C$2:$C$6,0)),0)))</f>
        <v/>
      </c>
      <c r="K205" s="31" t="n"/>
      <c r="L205" s="31" t="n"/>
      <c r="M205" s="32" t="n"/>
      <c r="N205" s="25">
        <f>IF(OR(L205="",M205=""),"",EDATE(L205,12*M205))</f>
        <v/>
      </c>
      <c r="O205" s="28" t="n"/>
      <c r="P205" s="32" t="n"/>
      <c r="Q205" s="31" t="n"/>
      <c r="R205" s="26">
        <f>IF(Q205="","",Q205-TODAY())</f>
        <v/>
      </c>
      <c r="S205" s="22">
        <f>IF(A205="","",SUMIFS(Payments!$C$2:$C$301,Payments!$B$2:$B$301,A205))</f>
        <v/>
      </c>
      <c r="T205" s="27">
        <f>IF(A205="","",SUMIFS(Beneficiaries!$E$2:$E$301,Beneficiaries!$A$2:$A$301,A205,Beneficiaries!$D$2:$D$301,"Primary"))</f>
        <v/>
      </c>
      <c r="U205" s="28" t="n"/>
      <c r="V205" s="28" t="n"/>
    </row>
    <row r="206">
      <c r="A206" s="28" t="n"/>
      <c r="B206" s="28" t="n"/>
      <c r="C206" s="28" t="n"/>
      <c r="D206" s="28" t="n"/>
      <c r="E206" s="28" t="n"/>
      <c r="F206" s="28" t="n"/>
      <c r="G206" s="29" t="n"/>
      <c r="H206" s="30" t="n"/>
      <c r="I206" s="28" t="n"/>
      <c r="J206" s="22">
        <f>IF(OR(H206="",I206=""),"",IF(I206="Single Pay",0,H206*IFERROR(INDEX(Lists!$D$2:$D$6,MATCH(I206,Lists!$C$2:$C$6,0)),0)))</f>
        <v/>
      </c>
      <c r="K206" s="31" t="n"/>
      <c r="L206" s="31" t="n"/>
      <c r="M206" s="32" t="n"/>
      <c r="N206" s="25">
        <f>IF(OR(L206="",M206=""),"",EDATE(L206,12*M206))</f>
        <v/>
      </c>
      <c r="O206" s="28" t="n"/>
      <c r="P206" s="32" t="n"/>
      <c r="Q206" s="31" t="n"/>
      <c r="R206" s="26">
        <f>IF(Q206="","",Q206-TODAY())</f>
        <v/>
      </c>
      <c r="S206" s="22">
        <f>IF(A206="","",SUMIFS(Payments!$C$2:$C$301,Payments!$B$2:$B$301,A206))</f>
        <v/>
      </c>
      <c r="T206" s="27">
        <f>IF(A206="","",SUMIFS(Beneficiaries!$E$2:$E$301,Beneficiaries!$A$2:$A$301,A206,Beneficiaries!$D$2:$D$301,"Primary"))</f>
        <v/>
      </c>
      <c r="U206" s="28" t="n"/>
      <c r="V206" s="28" t="n"/>
    </row>
    <row r="207">
      <c r="A207" s="28" t="n"/>
      <c r="B207" s="28" t="n"/>
      <c r="C207" s="28" t="n"/>
      <c r="D207" s="28" t="n"/>
      <c r="E207" s="28" t="n"/>
      <c r="F207" s="28" t="n"/>
      <c r="G207" s="29" t="n"/>
      <c r="H207" s="30" t="n"/>
      <c r="I207" s="28" t="n"/>
      <c r="J207" s="22">
        <f>IF(OR(H207="",I207=""),"",IF(I207="Single Pay",0,H207*IFERROR(INDEX(Lists!$D$2:$D$6,MATCH(I207,Lists!$C$2:$C$6,0)),0)))</f>
        <v/>
      </c>
      <c r="K207" s="31" t="n"/>
      <c r="L207" s="31" t="n"/>
      <c r="M207" s="32" t="n"/>
      <c r="N207" s="25">
        <f>IF(OR(L207="",M207=""),"",EDATE(L207,12*M207))</f>
        <v/>
      </c>
      <c r="O207" s="28" t="n"/>
      <c r="P207" s="32" t="n"/>
      <c r="Q207" s="31" t="n"/>
      <c r="R207" s="26">
        <f>IF(Q207="","",Q207-TODAY())</f>
        <v/>
      </c>
      <c r="S207" s="22">
        <f>IF(A207="","",SUMIFS(Payments!$C$2:$C$301,Payments!$B$2:$B$301,A207))</f>
        <v/>
      </c>
      <c r="T207" s="27">
        <f>IF(A207="","",SUMIFS(Beneficiaries!$E$2:$E$301,Beneficiaries!$A$2:$A$301,A207,Beneficiaries!$D$2:$D$301,"Primary"))</f>
        <v/>
      </c>
      <c r="U207" s="28" t="n"/>
      <c r="V207" s="28" t="n"/>
    </row>
    <row r="208">
      <c r="A208" s="28" t="n"/>
      <c r="B208" s="28" t="n"/>
      <c r="C208" s="28" t="n"/>
      <c r="D208" s="28" t="n"/>
      <c r="E208" s="28" t="n"/>
      <c r="F208" s="28" t="n"/>
      <c r="G208" s="29" t="n"/>
      <c r="H208" s="30" t="n"/>
      <c r="I208" s="28" t="n"/>
      <c r="J208" s="22">
        <f>IF(OR(H208="",I208=""),"",IF(I208="Single Pay",0,H208*IFERROR(INDEX(Lists!$D$2:$D$6,MATCH(I208,Lists!$C$2:$C$6,0)),0)))</f>
        <v/>
      </c>
      <c r="K208" s="31" t="n"/>
      <c r="L208" s="31" t="n"/>
      <c r="M208" s="32" t="n"/>
      <c r="N208" s="25">
        <f>IF(OR(L208="",M208=""),"",EDATE(L208,12*M208))</f>
        <v/>
      </c>
      <c r="O208" s="28" t="n"/>
      <c r="P208" s="32" t="n"/>
      <c r="Q208" s="31" t="n"/>
      <c r="R208" s="26">
        <f>IF(Q208="","",Q208-TODAY())</f>
        <v/>
      </c>
      <c r="S208" s="22">
        <f>IF(A208="","",SUMIFS(Payments!$C$2:$C$301,Payments!$B$2:$B$301,A208))</f>
        <v/>
      </c>
      <c r="T208" s="27">
        <f>IF(A208="","",SUMIFS(Beneficiaries!$E$2:$E$301,Beneficiaries!$A$2:$A$301,A208,Beneficiaries!$D$2:$D$301,"Primary"))</f>
        <v/>
      </c>
      <c r="U208" s="28" t="n"/>
      <c r="V208" s="28" t="n"/>
    </row>
    <row r="209">
      <c r="A209" s="28" t="n"/>
      <c r="B209" s="28" t="n"/>
      <c r="C209" s="28" t="n"/>
      <c r="D209" s="28" t="n"/>
      <c r="E209" s="28" t="n"/>
      <c r="F209" s="28" t="n"/>
      <c r="G209" s="29" t="n"/>
      <c r="H209" s="30" t="n"/>
      <c r="I209" s="28" t="n"/>
      <c r="J209" s="22">
        <f>IF(OR(H209="",I209=""),"",IF(I209="Single Pay",0,H209*IFERROR(INDEX(Lists!$D$2:$D$6,MATCH(I209,Lists!$C$2:$C$6,0)),0)))</f>
        <v/>
      </c>
      <c r="K209" s="31" t="n"/>
      <c r="L209" s="31" t="n"/>
      <c r="M209" s="32" t="n"/>
      <c r="N209" s="25">
        <f>IF(OR(L209="",M209=""),"",EDATE(L209,12*M209))</f>
        <v/>
      </c>
      <c r="O209" s="28" t="n"/>
      <c r="P209" s="32" t="n"/>
      <c r="Q209" s="31" t="n"/>
      <c r="R209" s="26">
        <f>IF(Q209="","",Q209-TODAY())</f>
        <v/>
      </c>
      <c r="S209" s="22">
        <f>IF(A209="","",SUMIFS(Payments!$C$2:$C$301,Payments!$B$2:$B$301,A209))</f>
        <v/>
      </c>
      <c r="T209" s="27">
        <f>IF(A209="","",SUMIFS(Beneficiaries!$E$2:$E$301,Beneficiaries!$A$2:$A$301,A209,Beneficiaries!$D$2:$D$301,"Primary"))</f>
        <v/>
      </c>
      <c r="U209" s="28" t="n"/>
      <c r="V209" s="28" t="n"/>
    </row>
    <row r="210">
      <c r="A210" s="28" t="n"/>
      <c r="B210" s="28" t="n"/>
      <c r="C210" s="28" t="n"/>
      <c r="D210" s="28" t="n"/>
      <c r="E210" s="28" t="n"/>
      <c r="F210" s="28" t="n"/>
      <c r="G210" s="29" t="n"/>
      <c r="H210" s="30" t="n"/>
      <c r="I210" s="28" t="n"/>
      <c r="J210" s="22">
        <f>IF(OR(H210="",I210=""),"",IF(I210="Single Pay",0,H210*IFERROR(INDEX(Lists!$D$2:$D$6,MATCH(I210,Lists!$C$2:$C$6,0)),0)))</f>
        <v/>
      </c>
      <c r="K210" s="31" t="n"/>
      <c r="L210" s="31" t="n"/>
      <c r="M210" s="32" t="n"/>
      <c r="N210" s="25">
        <f>IF(OR(L210="",M210=""),"",EDATE(L210,12*M210))</f>
        <v/>
      </c>
      <c r="O210" s="28" t="n"/>
      <c r="P210" s="32" t="n"/>
      <c r="Q210" s="31" t="n"/>
      <c r="R210" s="26">
        <f>IF(Q210="","",Q210-TODAY())</f>
        <v/>
      </c>
      <c r="S210" s="22">
        <f>IF(A210="","",SUMIFS(Payments!$C$2:$C$301,Payments!$B$2:$B$301,A210))</f>
        <v/>
      </c>
      <c r="T210" s="27">
        <f>IF(A210="","",SUMIFS(Beneficiaries!$E$2:$E$301,Beneficiaries!$A$2:$A$301,A210,Beneficiaries!$D$2:$D$301,"Primary"))</f>
        <v/>
      </c>
      <c r="U210" s="28" t="n"/>
      <c r="V210" s="28" t="n"/>
    </row>
    <row r="211">
      <c r="A211" s="28" t="n"/>
      <c r="B211" s="28" t="n"/>
      <c r="C211" s="28" t="n"/>
      <c r="D211" s="28" t="n"/>
      <c r="E211" s="28" t="n"/>
      <c r="F211" s="28" t="n"/>
      <c r="G211" s="29" t="n"/>
      <c r="H211" s="30" t="n"/>
      <c r="I211" s="28" t="n"/>
      <c r="J211" s="22">
        <f>IF(OR(H211="",I211=""),"",IF(I211="Single Pay",0,H211*IFERROR(INDEX(Lists!$D$2:$D$6,MATCH(I211,Lists!$C$2:$C$6,0)),0)))</f>
        <v/>
      </c>
      <c r="K211" s="31" t="n"/>
      <c r="L211" s="31" t="n"/>
      <c r="M211" s="32" t="n"/>
      <c r="N211" s="25">
        <f>IF(OR(L211="",M211=""),"",EDATE(L211,12*M211))</f>
        <v/>
      </c>
      <c r="O211" s="28" t="n"/>
      <c r="P211" s="32" t="n"/>
      <c r="Q211" s="31" t="n"/>
      <c r="R211" s="26">
        <f>IF(Q211="","",Q211-TODAY())</f>
        <v/>
      </c>
      <c r="S211" s="22">
        <f>IF(A211="","",SUMIFS(Payments!$C$2:$C$301,Payments!$B$2:$B$301,A211))</f>
        <v/>
      </c>
      <c r="T211" s="27">
        <f>IF(A211="","",SUMIFS(Beneficiaries!$E$2:$E$301,Beneficiaries!$A$2:$A$301,A211,Beneficiaries!$D$2:$D$301,"Primary"))</f>
        <v/>
      </c>
      <c r="U211" s="28" t="n"/>
      <c r="V211" s="28" t="n"/>
    </row>
    <row r="212">
      <c r="A212" s="28" t="n"/>
      <c r="B212" s="28" t="n"/>
      <c r="C212" s="28" t="n"/>
      <c r="D212" s="28" t="n"/>
      <c r="E212" s="28" t="n"/>
      <c r="F212" s="28" t="n"/>
      <c r="G212" s="29" t="n"/>
      <c r="H212" s="30" t="n"/>
      <c r="I212" s="28" t="n"/>
      <c r="J212" s="22">
        <f>IF(OR(H212="",I212=""),"",IF(I212="Single Pay",0,H212*IFERROR(INDEX(Lists!$D$2:$D$6,MATCH(I212,Lists!$C$2:$C$6,0)),0)))</f>
        <v/>
      </c>
      <c r="K212" s="31" t="n"/>
      <c r="L212" s="31" t="n"/>
      <c r="M212" s="32" t="n"/>
      <c r="N212" s="25">
        <f>IF(OR(L212="",M212=""),"",EDATE(L212,12*M212))</f>
        <v/>
      </c>
      <c r="O212" s="28" t="n"/>
      <c r="P212" s="32" t="n"/>
      <c r="Q212" s="31" t="n"/>
      <c r="R212" s="26">
        <f>IF(Q212="","",Q212-TODAY())</f>
        <v/>
      </c>
      <c r="S212" s="22">
        <f>IF(A212="","",SUMIFS(Payments!$C$2:$C$301,Payments!$B$2:$B$301,A212))</f>
        <v/>
      </c>
      <c r="T212" s="27">
        <f>IF(A212="","",SUMIFS(Beneficiaries!$E$2:$E$301,Beneficiaries!$A$2:$A$301,A212,Beneficiaries!$D$2:$D$301,"Primary"))</f>
        <v/>
      </c>
      <c r="U212" s="28" t="n"/>
      <c r="V212" s="28" t="n"/>
    </row>
    <row r="213">
      <c r="A213" s="28" t="n"/>
      <c r="B213" s="28" t="n"/>
      <c r="C213" s="28" t="n"/>
      <c r="D213" s="28" t="n"/>
      <c r="E213" s="28" t="n"/>
      <c r="F213" s="28" t="n"/>
      <c r="G213" s="29" t="n"/>
      <c r="H213" s="30" t="n"/>
      <c r="I213" s="28" t="n"/>
      <c r="J213" s="22">
        <f>IF(OR(H213="",I213=""),"",IF(I213="Single Pay",0,H213*IFERROR(INDEX(Lists!$D$2:$D$6,MATCH(I213,Lists!$C$2:$C$6,0)),0)))</f>
        <v/>
      </c>
      <c r="K213" s="31" t="n"/>
      <c r="L213" s="31" t="n"/>
      <c r="M213" s="32" t="n"/>
      <c r="N213" s="25">
        <f>IF(OR(L213="",M213=""),"",EDATE(L213,12*M213))</f>
        <v/>
      </c>
      <c r="O213" s="28" t="n"/>
      <c r="P213" s="32" t="n"/>
      <c r="Q213" s="31" t="n"/>
      <c r="R213" s="26">
        <f>IF(Q213="","",Q213-TODAY())</f>
        <v/>
      </c>
      <c r="S213" s="22">
        <f>IF(A213="","",SUMIFS(Payments!$C$2:$C$301,Payments!$B$2:$B$301,A213))</f>
        <v/>
      </c>
      <c r="T213" s="27">
        <f>IF(A213="","",SUMIFS(Beneficiaries!$E$2:$E$301,Beneficiaries!$A$2:$A$301,A213,Beneficiaries!$D$2:$D$301,"Primary"))</f>
        <v/>
      </c>
      <c r="U213" s="28" t="n"/>
      <c r="V213" s="28" t="n"/>
    </row>
    <row r="214">
      <c r="A214" s="28" t="n"/>
      <c r="B214" s="28" t="n"/>
      <c r="C214" s="28" t="n"/>
      <c r="D214" s="28" t="n"/>
      <c r="E214" s="28" t="n"/>
      <c r="F214" s="28" t="n"/>
      <c r="G214" s="29" t="n"/>
      <c r="H214" s="30" t="n"/>
      <c r="I214" s="28" t="n"/>
      <c r="J214" s="22">
        <f>IF(OR(H214="",I214=""),"",IF(I214="Single Pay",0,H214*IFERROR(INDEX(Lists!$D$2:$D$6,MATCH(I214,Lists!$C$2:$C$6,0)),0)))</f>
        <v/>
      </c>
      <c r="K214" s="31" t="n"/>
      <c r="L214" s="31" t="n"/>
      <c r="M214" s="32" t="n"/>
      <c r="N214" s="25">
        <f>IF(OR(L214="",M214=""),"",EDATE(L214,12*M214))</f>
        <v/>
      </c>
      <c r="O214" s="28" t="n"/>
      <c r="P214" s="32" t="n"/>
      <c r="Q214" s="31" t="n"/>
      <c r="R214" s="26">
        <f>IF(Q214="","",Q214-TODAY())</f>
        <v/>
      </c>
      <c r="S214" s="22">
        <f>IF(A214="","",SUMIFS(Payments!$C$2:$C$301,Payments!$B$2:$B$301,A214))</f>
        <v/>
      </c>
      <c r="T214" s="27">
        <f>IF(A214="","",SUMIFS(Beneficiaries!$E$2:$E$301,Beneficiaries!$A$2:$A$301,A214,Beneficiaries!$D$2:$D$301,"Primary"))</f>
        <v/>
      </c>
      <c r="U214" s="28" t="n"/>
      <c r="V214" s="28" t="n"/>
    </row>
    <row r="215">
      <c r="A215" s="28" t="n"/>
      <c r="B215" s="28" t="n"/>
      <c r="C215" s="28" t="n"/>
      <c r="D215" s="28" t="n"/>
      <c r="E215" s="28" t="n"/>
      <c r="F215" s="28" t="n"/>
      <c r="G215" s="29" t="n"/>
      <c r="H215" s="30" t="n"/>
      <c r="I215" s="28" t="n"/>
      <c r="J215" s="22">
        <f>IF(OR(H215="",I215=""),"",IF(I215="Single Pay",0,H215*IFERROR(INDEX(Lists!$D$2:$D$6,MATCH(I215,Lists!$C$2:$C$6,0)),0)))</f>
        <v/>
      </c>
      <c r="K215" s="31" t="n"/>
      <c r="L215" s="31" t="n"/>
      <c r="M215" s="32" t="n"/>
      <c r="N215" s="25">
        <f>IF(OR(L215="",M215=""),"",EDATE(L215,12*M215))</f>
        <v/>
      </c>
      <c r="O215" s="28" t="n"/>
      <c r="P215" s="32" t="n"/>
      <c r="Q215" s="31" t="n"/>
      <c r="R215" s="26">
        <f>IF(Q215="","",Q215-TODAY())</f>
        <v/>
      </c>
      <c r="S215" s="22">
        <f>IF(A215="","",SUMIFS(Payments!$C$2:$C$301,Payments!$B$2:$B$301,A215))</f>
        <v/>
      </c>
      <c r="T215" s="27">
        <f>IF(A215="","",SUMIFS(Beneficiaries!$E$2:$E$301,Beneficiaries!$A$2:$A$301,A215,Beneficiaries!$D$2:$D$301,"Primary"))</f>
        <v/>
      </c>
      <c r="U215" s="28" t="n"/>
      <c r="V215" s="28" t="n"/>
    </row>
    <row r="216">
      <c r="A216" s="28" t="n"/>
      <c r="B216" s="28" t="n"/>
      <c r="C216" s="28" t="n"/>
      <c r="D216" s="28" t="n"/>
      <c r="E216" s="28" t="n"/>
      <c r="F216" s="28" t="n"/>
      <c r="G216" s="29" t="n"/>
      <c r="H216" s="30" t="n"/>
      <c r="I216" s="28" t="n"/>
      <c r="J216" s="22">
        <f>IF(OR(H216="",I216=""),"",IF(I216="Single Pay",0,H216*IFERROR(INDEX(Lists!$D$2:$D$6,MATCH(I216,Lists!$C$2:$C$6,0)),0)))</f>
        <v/>
      </c>
      <c r="K216" s="31" t="n"/>
      <c r="L216" s="31" t="n"/>
      <c r="M216" s="32" t="n"/>
      <c r="N216" s="25">
        <f>IF(OR(L216="",M216=""),"",EDATE(L216,12*M216))</f>
        <v/>
      </c>
      <c r="O216" s="28" t="n"/>
      <c r="P216" s="32" t="n"/>
      <c r="Q216" s="31" t="n"/>
      <c r="R216" s="26">
        <f>IF(Q216="","",Q216-TODAY())</f>
        <v/>
      </c>
      <c r="S216" s="22">
        <f>IF(A216="","",SUMIFS(Payments!$C$2:$C$301,Payments!$B$2:$B$301,A216))</f>
        <v/>
      </c>
      <c r="T216" s="27">
        <f>IF(A216="","",SUMIFS(Beneficiaries!$E$2:$E$301,Beneficiaries!$A$2:$A$301,A216,Beneficiaries!$D$2:$D$301,"Primary"))</f>
        <v/>
      </c>
      <c r="U216" s="28" t="n"/>
      <c r="V216" s="28" t="n"/>
    </row>
    <row r="217">
      <c r="A217" s="28" t="n"/>
      <c r="B217" s="28" t="n"/>
      <c r="C217" s="28" t="n"/>
      <c r="D217" s="28" t="n"/>
      <c r="E217" s="28" t="n"/>
      <c r="F217" s="28" t="n"/>
      <c r="G217" s="29" t="n"/>
      <c r="H217" s="30" t="n"/>
      <c r="I217" s="28" t="n"/>
      <c r="J217" s="22">
        <f>IF(OR(H217="",I217=""),"",IF(I217="Single Pay",0,H217*IFERROR(INDEX(Lists!$D$2:$D$6,MATCH(I217,Lists!$C$2:$C$6,0)),0)))</f>
        <v/>
      </c>
      <c r="K217" s="31" t="n"/>
      <c r="L217" s="31" t="n"/>
      <c r="M217" s="32" t="n"/>
      <c r="N217" s="25">
        <f>IF(OR(L217="",M217=""),"",EDATE(L217,12*M217))</f>
        <v/>
      </c>
      <c r="O217" s="28" t="n"/>
      <c r="P217" s="32" t="n"/>
      <c r="Q217" s="31" t="n"/>
      <c r="R217" s="26">
        <f>IF(Q217="","",Q217-TODAY())</f>
        <v/>
      </c>
      <c r="S217" s="22">
        <f>IF(A217="","",SUMIFS(Payments!$C$2:$C$301,Payments!$B$2:$B$301,A217))</f>
        <v/>
      </c>
      <c r="T217" s="27">
        <f>IF(A217="","",SUMIFS(Beneficiaries!$E$2:$E$301,Beneficiaries!$A$2:$A$301,A217,Beneficiaries!$D$2:$D$301,"Primary"))</f>
        <v/>
      </c>
      <c r="U217" s="28" t="n"/>
      <c r="V217" s="28" t="n"/>
    </row>
    <row r="218">
      <c r="A218" s="28" t="n"/>
      <c r="B218" s="28" t="n"/>
      <c r="C218" s="28" t="n"/>
      <c r="D218" s="28" t="n"/>
      <c r="E218" s="28" t="n"/>
      <c r="F218" s="28" t="n"/>
      <c r="G218" s="29" t="n"/>
      <c r="H218" s="30" t="n"/>
      <c r="I218" s="28" t="n"/>
      <c r="J218" s="22">
        <f>IF(OR(H218="",I218=""),"",IF(I218="Single Pay",0,H218*IFERROR(INDEX(Lists!$D$2:$D$6,MATCH(I218,Lists!$C$2:$C$6,0)),0)))</f>
        <v/>
      </c>
      <c r="K218" s="31" t="n"/>
      <c r="L218" s="31" t="n"/>
      <c r="M218" s="32" t="n"/>
      <c r="N218" s="25">
        <f>IF(OR(L218="",M218=""),"",EDATE(L218,12*M218))</f>
        <v/>
      </c>
      <c r="O218" s="28" t="n"/>
      <c r="P218" s="32" t="n"/>
      <c r="Q218" s="31" t="n"/>
      <c r="R218" s="26">
        <f>IF(Q218="","",Q218-TODAY())</f>
        <v/>
      </c>
      <c r="S218" s="22">
        <f>IF(A218="","",SUMIFS(Payments!$C$2:$C$301,Payments!$B$2:$B$301,A218))</f>
        <v/>
      </c>
      <c r="T218" s="27">
        <f>IF(A218="","",SUMIFS(Beneficiaries!$E$2:$E$301,Beneficiaries!$A$2:$A$301,A218,Beneficiaries!$D$2:$D$301,"Primary"))</f>
        <v/>
      </c>
      <c r="U218" s="28" t="n"/>
      <c r="V218" s="28" t="n"/>
    </row>
    <row r="219">
      <c r="A219" s="28" t="n"/>
      <c r="B219" s="28" t="n"/>
      <c r="C219" s="28" t="n"/>
      <c r="D219" s="28" t="n"/>
      <c r="E219" s="28" t="n"/>
      <c r="F219" s="28" t="n"/>
      <c r="G219" s="29" t="n"/>
      <c r="H219" s="30" t="n"/>
      <c r="I219" s="28" t="n"/>
      <c r="J219" s="22">
        <f>IF(OR(H219="",I219=""),"",IF(I219="Single Pay",0,H219*IFERROR(INDEX(Lists!$D$2:$D$6,MATCH(I219,Lists!$C$2:$C$6,0)),0)))</f>
        <v/>
      </c>
      <c r="K219" s="31" t="n"/>
      <c r="L219" s="31" t="n"/>
      <c r="M219" s="32" t="n"/>
      <c r="N219" s="25">
        <f>IF(OR(L219="",M219=""),"",EDATE(L219,12*M219))</f>
        <v/>
      </c>
      <c r="O219" s="28" t="n"/>
      <c r="P219" s="32" t="n"/>
      <c r="Q219" s="31" t="n"/>
      <c r="R219" s="26">
        <f>IF(Q219="","",Q219-TODAY())</f>
        <v/>
      </c>
      <c r="S219" s="22">
        <f>IF(A219="","",SUMIFS(Payments!$C$2:$C$301,Payments!$B$2:$B$301,A219))</f>
        <v/>
      </c>
      <c r="T219" s="27">
        <f>IF(A219="","",SUMIFS(Beneficiaries!$E$2:$E$301,Beneficiaries!$A$2:$A$301,A219,Beneficiaries!$D$2:$D$301,"Primary"))</f>
        <v/>
      </c>
      <c r="U219" s="28" t="n"/>
      <c r="V219" s="28" t="n"/>
    </row>
    <row r="220">
      <c r="A220" s="28" t="n"/>
      <c r="B220" s="28" t="n"/>
      <c r="C220" s="28" t="n"/>
      <c r="D220" s="28" t="n"/>
      <c r="E220" s="28" t="n"/>
      <c r="F220" s="28" t="n"/>
      <c r="G220" s="29" t="n"/>
      <c r="H220" s="30" t="n"/>
      <c r="I220" s="28" t="n"/>
      <c r="J220" s="22">
        <f>IF(OR(H220="",I220=""),"",IF(I220="Single Pay",0,H220*IFERROR(INDEX(Lists!$D$2:$D$6,MATCH(I220,Lists!$C$2:$C$6,0)),0)))</f>
        <v/>
      </c>
      <c r="K220" s="31" t="n"/>
      <c r="L220" s="31" t="n"/>
      <c r="M220" s="32" t="n"/>
      <c r="N220" s="25">
        <f>IF(OR(L220="",M220=""),"",EDATE(L220,12*M220))</f>
        <v/>
      </c>
      <c r="O220" s="28" t="n"/>
      <c r="P220" s="32" t="n"/>
      <c r="Q220" s="31" t="n"/>
      <c r="R220" s="26">
        <f>IF(Q220="","",Q220-TODAY())</f>
        <v/>
      </c>
      <c r="S220" s="22">
        <f>IF(A220="","",SUMIFS(Payments!$C$2:$C$301,Payments!$B$2:$B$301,A220))</f>
        <v/>
      </c>
      <c r="T220" s="27">
        <f>IF(A220="","",SUMIFS(Beneficiaries!$E$2:$E$301,Beneficiaries!$A$2:$A$301,A220,Beneficiaries!$D$2:$D$301,"Primary"))</f>
        <v/>
      </c>
      <c r="U220" s="28" t="n"/>
      <c r="V220" s="28" t="n"/>
    </row>
    <row r="221">
      <c r="A221" s="28" t="n"/>
      <c r="B221" s="28" t="n"/>
      <c r="C221" s="28" t="n"/>
      <c r="D221" s="28" t="n"/>
      <c r="E221" s="28" t="n"/>
      <c r="F221" s="28" t="n"/>
      <c r="G221" s="29" t="n"/>
      <c r="H221" s="30" t="n"/>
      <c r="I221" s="28" t="n"/>
      <c r="J221" s="22">
        <f>IF(OR(H221="",I221=""),"",IF(I221="Single Pay",0,H221*IFERROR(INDEX(Lists!$D$2:$D$6,MATCH(I221,Lists!$C$2:$C$6,0)),0)))</f>
        <v/>
      </c>
      <c r="K221" s="31" t="n"/>
      <c r="L221" s="31" t="n"/>
      <c r="M221" s="32" t="n"/>
      <c r="N221" s="25">
        <f>IF(OR(L221="",M221=""),"",EDATE(L221,12*M221))</f>
        <v/>
      </c>
      <c r="O221" s="28" t="n"/>
      <c r="P221" s="32" t="n"/>
      <c r="Q221" s="31" t="n"/>
      <c r="R221" s="26">
        <f>IF(Q221="","",Q221-TODAY())</f>
        <v/>
      </c>
      <c r="S221" s="22">
        <f>IF(A221="","",SUMIFS(Payments!$C$2:$C$301,Payments!$B$2:$B$301,A221))</f>
        <v/>
      </c>
      <c r="T221" s="27">
        <f>IF(A221="","",SUMIFS(Beneficiaries!$E$2:$E$301,Beneficiaries!$A$2:$A$301,A221,Beneficiaries!$D$2:$D$301,"Primary"))</f>
        <v/>
      </c>
      <c r="U221" s="28" t="n"/>
      <c r="V221" s="28" t="n"/>
    </row>
    <row r="222">
      <c r="A222" s="28" t="n"/>
      <c r="B222" s="28" t="n"/>
      <c r="C222" s="28" t="n"/>
      <c r="D222" s="28" t="n"/>
      <c r="E222" s="28" t="n"/>
      <c r="F222" s="28" t="n"/>
      <c r="G222" s="29" t="n"/>
      <c r="H222" s="30" t="n"/>
      <c r="I222" s="28" t="n"/>
      <c r="J222" s="22">
        <f>IF(OR(H222="",I222=""),"",IF(I222="Single Pay",0,H222*IFERROR(INDEX(Lists!$D$2:$D$6,MATCH(I222,Lists!$C$2:$C$6,0)),0)))</f>
        <v/>
      </c>
      <c r="K222" s="31" t="n"/>
      <c r="L222" s="31" t="n"/>
      <c r="M222" s="32" t="n"/>
      <c r="N222" s="25">
        <f>IF(OR(L222="",M222=""),"",EDATE(L222,12*M222))</f>
        <v/>
      </c>
      <c r="O222" s="28" t="n"/>
      <c r="P222" s="32" t="n"/>
      <c r="Q222" s="31" t="n"/>
      <c r="R222" s="26">
        <f>IF(Q222="","",Q222-TODAY())</f>
        <v/>
      </c>
      <c r="S222" s="22">
        <f>IF(A222="","",SUMIFS(Payments!$C$2:$C$301,Payments!$B$2:$B$301,A222))</f>
        <v/>
      </c>
      <c r="T222" s="27">
        <f>IF(A222="","",SUMIFS(Beneficiaries!$E$2:$E$301,Beneficiaries!$A$2:$A$301,A222,Beneficiaries!$D$2:$D$301,"Primary"))</f>
        <v/>
      </c>
      <c r="U222" s="28" t="n"/>
      <c r="V222" s="28" t="n"/>
    </row>
    <row r="223">
      <c r="A223" s="28" t="n"/>
      <c r="B223" s="28" t="n"/>
      <c r="C223" s="28" t="n"/>
      <c r="D223" s="28" t="n"/>
      <c r="E223" s="28" t="n"/>
      <c r="F223" s="28" t="n"/>
      <c r="G223" s="29" t="n"/>
      <c r="H223" s="30" t="n"/>
      <c r="I223" s="28" t="n"/>
      <c r="J223" s="22">
        <f>IF(OR(H223="",I223=""),"",IF(I223="Single Pay",0,H223*IFERROR(INDEX(Lists!$D$2:$D$6,MATCH(I223,Lists!$C$2:$C$6,0)),0)))</f>
        <v/>
      </c>
      <c r="K223" s="31" t="n"/>
      <c r="L223" s="31" t="n"/>
      <c r="M223" s="32" t="n"/>
      <c r="N223" s="25">
        <f>IF(OR(L223="",M223=""),"",EDATE(L223,12*M223))</f>
        <v/>
      </c>
      <c r="O223" s="28" t="n"/>
      <c r="P223" s="32" t="n"/>
      <c r="Q223" s="31" t="n"/>
      <c r="R223" s="26">
        <f>IF(Q223="","",Q223-TODAY())</f>
        <v/>
      </c>
      <c r="S223" s="22">
        <f>IF(A223="","",SUMIFS(Payments!$C$2:$C$301,Payments!$B$2:$B$301,A223))</f>
        <v/>
      </c>
      <c r="T223" s="27">
        <f>IF(A223="","",SUMIFS(Beneficiaries!$E$2:$E$301,Beneficiaries!$A$2:$A$301,A223,Beneficiaries!$D$2:$D$301,"Primary"))</f>
        <v/>
      </c>
      <c r="U223" s="28" t="n"/>
      <c r="V223" s="28" t="n"/>
    </row>
    <row r="224">
      <c r="A224" s="28" t="n"/>
      <c r="B224" s="28" t="n"/>
      <c r="C224" s="28" t="n"/>
      <c r="D224" s="28" t="n"/>
      <c r="E224" s="28" t="n"/>
      <c r="F224" s="28" t="n"/>
      <c r="G224" s="29" t="n"/>
      <c r="H224" s="30" t="n"/>
      <c r="I224" s="28" t="n"/>
      <c r="J224" s="22">
        <f>IF(OR(H224="",I224=""),"",IF(I224="Single Pay",0,H224*IFERROR(INDEX(Lists!$D$2:$D$6,MATCH(I224,Lists!$C$2:$C$6,0)),0)))</f>
        <v/>
      </c>
      <c r="K224" s="31" t="n"/>
      <c r="L224" s="31" t="n"/>
      <c r="M224" s="32" t="n"/>
      <c r="N224" s="25">
        <f>IF(OR(L224="",M224=""),"",EDATE(L224,12*M224))</f>
        <v/>
      </c>
      <c r="O224" s="28" t="n"/>
      <c r="P224" s="32" t="n"/>
      <c r="Q224" s="31" t="n"/>
      <c r="R224" s="26">
        <f>IF(Q224="","",Q224-TODAY())</f>
        <v/>
      </c>
      <c r="S224" s="22">
        <f>IF(A224="","",SUMIFS(Payments!$C$2:$C$301,Payments!$B$2:$B$301,A224))</f>
        <v/>
      </c>
      <c r="T224" s="27">
        <f>IF(A224="","",SUMIFS(Beneficiaries!$E$2:$E$301,Beneficiaries!$A$2:$A$301,A224,Beneficiaries!$D$2:$D$301,"Primary"))</f>
        <v/>
      </c>
      <c r="U224" s="28" t="n"/>
      <c r="V224" s="28" t="n"/>
    </row>
    <row r="225">
      <c r="A225" s="28" t="n"/>
      <c r="B225" s="28" t="n"/>
      <c r="C225" s="28" t="n"/>
      <c r="D225" s="28" t="n"/>
      <c r="E225" s="28" t="n"/>
      <c r="F225" s="28" t="n"/>
      <c r="G225" s="29" t="n"/>
      <c r="H225" s="30" t="n"/>
      <c r="I225" s="28" t="n"/>
      <c r="J225" s="22">
        <f>IF(OR(H225="",I225=""),"",IF(I225="Single Pay",0,H225*IFERROR(INDEX(Lists!$D$2:$D$6,MATCH(I225,Lists!$C$2:$C$6,0)),0)))</f>
        <v/>
      </c>
      <c r="K225" s="31" t="n"/>
      <c r="L225" s="31" t="n"/>
      <c r="M225" s="32" t="n"/>
      <c r="N225" s="25">
        <f>IF(OR(L225="",M225=""),"",EDATE(L225,12*M225))</f>
        <v/>
      </c>
      <c r="O225" s="28" t="n"/>
      <c r="P225" s="32" t="n"/>
      <c r="Q225" s="31" t="n"/>
      <c r="R225" s="26">
        <f>IF(Q225="","",Q225-TODAY())</f>
        <v/>
      </c>
      <c r="S225" s="22">
        <f>IF(A225="","",SUMIFS(Payments!$C$2:$C$301,Payments!$B$2:$B$301,A225))</f>
        <v/>
      </c>
      <c r="T225" s="27">
        <f>IF(A225="","",SUMIFS(Beneficiaries!$E$2:$E$301,Beneficiaries!$A$2:$A$301,A225,Beneficiaries!$D$2:$D$301,"Primary"))</f>
        <v/>
      </c>
      <c r="U225" s="28" t="n"/>
      <c r="V225" s="28" t="n"/>
    </row>
    <row r="226">
      <c r="A226" s="28" t="n"/>
      <c r="B226" s="28" t="n"/>
      <c r="C226" s="28" t="n"/>
      <c r="D226" s="28" t="n"/>
      <c r="E226" s="28" t="n"/>
      <c r="F226" s="28" t="n"/>
      <c r="G226" s="29" t="n"/>
      <c r="H226" s="30" t="n"/>
      <c r="I226" s="28" t="n"/>
      <c r="J226" s="22">
        <f>IF(OR(H226="",I226=""),"",IF(I226="Single Pay",0,H226*IFERROR(INDEX(Lists!$D$2:$D$6,MATCH(I226,Lists!$C$2:$C$6,0)),0)))</f>
        <v/>
      </c>
      <c r="K226" s="31" t="n"/>
      <c r="L226" s="31" t="n"/>
      <c r="M226" s="32" t="n"/>
      <c r="N226" s="25">
        <f>IF(OR(L226="",M226=""),"",EDATE(L226,12*M226))</f>
        <v/>
      </c>
      <c r="O226" s="28" t="n"/>
      <c r="P226" s="32" t="n"/>
      <c r="Q226" s="31" t="n"/>
      <c r="R226" s="26">
        <f>IF(Q226="","",Q226-TODAY())</f>
        <v/>
      </c>
      <c r="S226" s="22">
        <f>IF(A226="","",SUMIFS(Payments!$C$2:$C$301,Payments!$B$2:$B$301,A226))</f>
        <v/>
      </c>
      <c r="T226" s="27">
        <f>IF(A226="","",SUMIFS(Beneficiaries!$E$2:$E$301,Beneficiaries!$A$2:$A$301,A226,Beneficiaries!$D$2:$D$301,"Primary"))</f>
        <v/>
      </c>
      <c r="U226" s="28" t="n"/>
      <c r="V226" s="28" t="n"/>
    </row>
    <row r="227">
      <c r="A227" s="28" t="n"/>
      <c r="B227" s="28" t="n"/>
      <c r="C227" s="28" t="n"/>
      <c r="D227" s="28" t="n"/>
      <c r="E227" s="28" t="n"/>
      <c r="F227" s="28" t="n"/>
      <c r="G227" s="29" t="n"/>
      <c r="H227" s="30" t="n"/>
      <c r="I227" s="28" t="n"/>
      <c r="J227" s="22">
        <f>IF(OR(H227="",I227=""),"",IF(I227="Single Pay",0,H227*IFERROR(INDEX(Lists!$D$2:$D$6,MATCH(I227,Lists!$C$2:$C$6,0)),0)))</f>
        <v/>
      </c>
      <c r="K227" s="31" t="n"/>
      <c r="L227" s="31" t="n"/>
      <c r="M227" s="32" t="n"/>
      <c r="N227" s="25">
        <f>IF(OR(L227="",M227=""),"",EDATE(L227,12*M227))</f>
        <v/>
      </c>
      <c r="O227" s="28" t="n"/>
      <c r="P227" s="32" t="n"/>
      <c r="Q227" s="31" t="n"/>
      <c r="R227" s="26">
        <f>IF(Q227="","",Q227-TODAY())</f>
        <v/>
      </c>
      <c r="S227" s="22">
        <f>IF(A227="","",SUMIFS(Payments!$C$2:$C$301,Payments!$B$2:$B$301,A227))</f>
        <v/>
      </c>
      <c r="T227" s="27">
        <f>IF(A227="","",SUMIFS(Beneficiaries!$E$2:$E$301,Beneficiaries!$A$2:$A$301,A227,Beneficiaries!$D$2:$D$301,"Primary"))</f>
        <v/>
      </c>
      <c r="U227" s="28" t="n"/>
      <c r="V227" s="28" t="n"/>
    </row>
    <row r="228">
      <c r="A228" s="28" t="n"/>
      <c r="B228" s="28" t="n"/>
      <c r="C228" s="28" t="n"/>
      <c r="D228" s="28" t="n"/>
      <c r="E228" s="28" t="n"/>
      <c r="F228" s="28" t="n"/>
      <c r="G228" s="29" t="n"/>
      <c r="H228" s="30" t="n"/>
      <c r="I228" s="28" t="n"/>
      <c r="J228" s="22">
        <f>IF(OR(H228="",I228=""),"",IF(I228="Single Pay",0,H228*IFERROR(INDEX(Lists!$D$2:$D$6,MATCH(I228,Lists!$C$2:$C$6,0)),0)))</f>
        <v/>
      </c>
      <c r="K228" s="31" t="n"/>
      <c r="L228" s="31" t="n"/>
      <c r="M228" s="32" t="n"/>
      <c r="N228" s="25">
        <f>IF(OR(L228="",M228=""),"",EDATE(L228,12*M228))</f>
        <v/>
      </c>
      <c r="O228" s="28" t="n"/>
      <c r="P228" s="32" t="n"/>
      <c r="Q228" s="31" t="n"/>
      <c r="R228" s="26">
        <f>IF(Q228="","",Q228-TODAY())</f>
        <v/>
      </c>
      <c r="S228" s="22">
        <f>IF(A228="","",SUMIFS(Payments!$C$2:$C$301,Payments!$B$2:$B$301,A228))</f>
        <v/>
      </c>
      <c r="T228" s="27">
        <f>IF(A228="","",SUMIFS(Beneficiaries!$E$2:$E$301,Beneficiaries!$A$2:$A$301,A228,Beneficiaries!$D$2:$D$301,"Primary"))</f>
        <v/>
      </c>
      <c r="U228" s="28" t="n"/>
      <c r="V228" s="28" t="n"/>
    </row>
    <row r="229">
      <c r="A229" s="28" t="n"/>
      <c r="B229" s="28" t="n"/>
      <c r="C229" s="28" t="n"/>
      <c r="D229" s="28" t="n"/>
      <c r="E229" s="28" t="n"/>
      <c r="F229" s="28" t="n"/>
      <c r="G229" s="29" t="n"/>
      <c r="H229" s="30" t="n"/>
      <c r="I229" s="28" t="n"/>
      <c r="J229" s="22">
        <f>IF(OR(H229="",I229=""),"",IF(I229="Single Pay",0,H229*IFERROR(INDEX(Lists!$D$2:$D$6,MATCH(I229,Lists!$C$2:$C$6,0)),0)))</f>
        <v/>
      </c>
      <c r="K229" s="31" t="n"/>
      <c r="L229" s="31" t="n"/>
      <c r="M229" s="32" t="n"/>
      <c r="N229" s="25">
        <f>IF(OR(L229="",M229=""),"",EDATE(L229,12*M229))</f>
        <v/>
      </c>
      <c r="O229" s="28" t="n"/>
      <c r="P229" s="32" t="n"/>
      <c r="Q229" s="31" t="n"/>
      <c r="R229" s="26">
        <f>IF(Q229="","",Q229-TODAY())</f>
        <v/>
      </c>
      <c r="S229" s="22">
        <f>IF(A229="","",SUMIFS(Payments!$C$2:$C$301,Payments!$B$2:$B$301,A229))</f>
        <v/>
      </c>
      <c r="T229" s="27">
        <f>IF(A229="","",SUMIFS(Beneficiaries!$E$2:$E$301,Beneficiaries!$A$2:$A$301,A229,Beneficiaries!$D$2:$D$301,"Primary"))</f>
        <v/>
      </c>
      <c r="U229" s="28" t="n"/>
      <c r="V229" s="28" t="n"/>
    </row>
    <row r="230">
      <c r="A230" s="28" t="n"/>
      <c r="B230" s="28" t="n"/>
      <c r="C230" s="28" t="n"/>
      <c r="D230" s="28" t="n"/>
      <c r="E230" s="28" t="n"/>
      <c r="F230" s="28" t="n"/>
      <c r="G230" s="29" t="n"/>
      <c r="H230" s="30" t="n"/>
      <c r="I230" s="28" t="n"/>
      <c r="J230" s="22">
        <f>IF(OR(H230="",I230=""),"",IF(I230="Single Pay",0,H230*IFERROR(INDEX(Lists!$D$2:$D$6,MATCH(I230,Lists!$C$2:$C$6,0)),0)))</f>
        <v/>
      </c>
      <c r="K230" s="31" t="n"/>
      <c r="L230" s="31" t="n"/>
      <c r="M230" s="32" t="n"/>
      <c r="N230" s="25">
        <f>IF(OR(L230="",M230=""),"",EDATE(L230,12*M230))</f>
        <v/>
      </c>
      <c r="O230" s="28" t="n"/>
      <c r="P230" s="32" t="n"/>
      <c r="Q230" s="31" t="n"/>
      <c r="R230" s="26">
        <f>IF(Q230="","",Q230-TODAY())</f>
        <v/>
      </c>
      <c r="S230" s="22">
        <f>IF(A230="","",SUMIFS(Payments!$C$2:$C$301,Payments!$B$2:$B$301,A230))</f>
        <v/>
      </c>
      <c r="T230" s="27">
        <f>IF(A230="","",SUMIFS(Beneficiaries!$E$2:$E$301,Beneficiaries!$A$2:$A$301,A230,Beneficiaries!$D$2:$D$301,"Primary"))</f>
        <v/>
      </c>
      <c r="U230" s="28" t="n"/>
      <c r="V230" s="28" t="n"/>
    </row>
    <row r="231">
      <c r="A231" s="28" t="n"/>
      <c r="B231" s="28" t="n"/>
      <c r="C231" s="28" t="n"/>
      <c r="D231" s="28" t="n"/>
      <c r="E231" s="28" t="n"/>
      <c r="F231" s="28" t="n"/>
      <c r="G231" s="29" t="n"/>
      <c r="H231" s="30" t="n"/>
      <c r="I231" s="28" t="n"/>
      <c r="J231" s="22">
        <f>IF(OR(H231="",I231=""),"",IF(I231="Single Pay",0,H231*IFERROR(INDEX(Lists!$D$2:$D$6,MATCH(I231,Lists!$C$2:$C$6,0)),0)))</f>
        <v/>
      </c>
      <c r="K231" s="31" t="n"/>
      <c r="L231" s="31" t="n"/>
      <c r="M231" s="32" t="n"/>
      <c r="N231" s="25">
        <f>IF(OR(L231="",M231=""),"",EDATE(L231,12*M231))</f>
        <v/>
      </c>
      <c r="O231" s="28" t="n"/>
      <c r="P231" s="32" t="n"/>
      <c r="Q231" s="31" t="n"/>
      <c r="R231" s="26">
        <f>IF(Q231="","",Q231-TODAY())</f>
        <v/>
      </c>
      <c r="S231" s="22">
        <f>IF(A231="","",SUMIFS(Payments!$C$2:$C$301,Payments!$B$2:$B$301,A231))</f>
        <v/>
      </c>
      <c r="T231" s="27">
        <f>IF(A231="","",SUMIFS(Beneficiaries!$E$2:$E$301,Beneficiaries!$A$2:$A$301,A231,Beneficiaries!$D$2:$D$301,"Primary"))</f>
        <v/>
      </c>
      <c r="U231" s="28" t="n"/>
      <c r="V231" s="28" t="n"/>
    </row>
    <row r="232">
      <c r="A232" s="28" t="n"/>
      <c r="B232" s="28" t="n"/>
      <c r="C232" s="28" t="n"/>
      <c r="D232" s="28" t="n"/>
      <c r="E232" s="28" t="n"/>
      <c r="F232" s="28" t="n"/>
      <c r="G232" s="29" t="n"/>
      <c r="H232" s="30" t="n"/>
      <c r="I232" s="28" t="n"/>
      <c r="J232" s="22">
        <f>IF(OR(H232="",I232=""),"",IF(I232="Single Pay",0,H232*IFERROR(INDEX(Lists!$D$2:$D$6,MATCH(I232,Lists!$C$2:$C$6,0)),0)))</f>
        <v/>
      </c>
      <c r="K232" s="31" t="n"/>
      <c r="L232" s="31" t="n"/>
      <c r="M232" s="32" t="n"/>
      <c r="N232" s="25">
        <f>IF(OR(L232="",M232=""),"",EDATE(L232,12*M232))</f>
        <v/>
      </c>
      <c r="O232" s="28" t="n"/>
      <c r="P232" s="32" t="n"/>
      <c r="Q232" s="31" t="n"/>
      <c r="R232" s="26">
        <f>IF(Q232="","",Q232-TODAY())</f>
        <v/>
      </c>
      <c r="S232" s="22">
        <f>IF(A232="","",SUMIFS(Payments!$C$2:$C$301,Payments!$B$2:$B$301,A232))</f>
        <v/>
      </c>
      <c r="T232" s="27">
        <f>IF(A232="","",SUMIFS(Beneficiaries!$E$2:$E$301,Beneficiaries!$A$2:$A$301,A232,Beneficiaries!$D$2:$D$301,"Primary"))</f>
        <v/>
      </c>
      <c r="U232" s="28" t="n"/>
      <c r="V232" s="28" t="n"/>
    </row>
    <row r="233">
      <c r="A233" s="28" t="n"/>
      <c r="B233" s="28" t="n"/>
      <c r="C233" s="28" t="n"/>
      <c r="D233" s="28" t="n"/>
      <c r="E233" s="28" t="n"/>
      <c r="F233" s="28" t="n"/>
      <c r="G233" s="29" t="n"/>
      <c r="H233" s="30" t="n"/>
      <c r="I233" s="28" t="n"/>
      <c r="J233" s="22">
        <f>IF(OR(H233="",I233=""),"",IF(I233="Single Pay",0,H233*IFERROR(INDEX(Lists!$D$2:$D$6,MATCH(I233,Lists!$C$2:$C$6,0)),0)))</f>
        <v/>
      </c>
      <c r="K233" s="31" t="n"/>
      <c r="L233" s="31" t="n"/>
      <c r="M233" s="32" t="n"/>
      <c r="N233" s="25">
        <f>IF(OR(L233="",M233=""),"",EDATE(L233,12*M233))</f>
        <v/>
      </c>
      <c r="O233" s="28" t="n"/>
      <c r="P233" s="32" t="n"/>
      <c r="Q233" s="31" t="n"/>
      <c r="R233" s="26">
        <f>IF(Q233="","",Q233-TODAY())</f>
        <v/>
      </c>
      <c r="S233" s="22">
        <f>IF(A233="","",SUMIFS(Payments!$C$2:$C$301,Payments!$B$2:$B$301,A233))</f>
        <v/>
      </c>
      <c r="T233" s="27">
        <f>IF(A233="","",SUMIFS(Beneficiaries!$E$2:$E$301,Beneficiaries!$A$2:$A$301,A233,Beneficiaries!$D$2:$D$301,"Primary"))</f>
        <v/>
      </c>
      <c r="U233" s="28" t="n"/>
      <c r="V233" s="28" t="n"/>
    </row>
    <row r="234">
      <c r="A234" s="28" t="n"/>
      <c r="B234" s="28" t="n"/>
      <c r="C234" s="28" t="n"/>
      <c r="D234" s="28" t="n"/>
      <c r="E234" s="28" t="n"/>
      <c r="F234" s="28" t="n"/>
      <c r="G234" s="29" t="n"/>
      <c r="H234" s="30" t="n"/>
      <c r="I234" s="28" t="n"/>
      <c r="J234" s="22">
        <f>IF(OR(H234="",I234=""),"",IF(I234="Single Pay",0,H234*IFERROR(INDEX(Lists!$D$2:$D$6,MATCH(I234,Lists!$C$2:$C$6,0)),0)))</f>
        <v/>
      </c>
      <c r="K234" s="31" t="n"/>
      <c r="L234" s="31" t="n"/>
      <c r="M234" s="32" t="n"/>
      <c r="N234" s="25">
        <f>IF(OR(L234="",M234=""),"",EDATE(L234,12*M234))</f>
        <v/>
      </c>
      <c r="O234" s="28" t="n"/>
      <c r="P234" s="32" t="n"/>
      <c r="Q234" s="31" t="n"/>
      <c r="R234" s="26">
        <f>IF(Q234="","",Q234-TODAY())</f>
        <v/>
      </c>
      <c r="S234" s="22">
        <f>IF(A234="","",SUMIFS(Payments!$C$2:$C$301,Payments!$B$2:$B$301,A234))</f>
        <v/>
      </c>
      <c r="T234" s="27">
        <f>IF(A234="","",SUMIFS(Beneficiaries!$E$2:$E$301,Beneficiaries!$A$2:$A$301,A234,Beneficiaries!$D$2:$D$301,"Primary"))</f>
        <v/>
      </c>
      <c r="U234" s="28" t="n"/>
      <c r="V234" s="28" t="n"/>
    </row>
    <row r="235">
      <c r="A235" s="28" t="n"/>
      <c r="B235" s="28" t="n"/>
      <c r="C235" s="28" t="n"/>
      <c r="D235" s="28" t="n"/>
      <c r="E235" s="28" t="n"/>
      <c r="F235" s="28" t="n"/>
      <c r="G235" s="29" t="n"/>
      <c r="H235" s="30" t="n"/>
      <c r="I235" s="28" t="n"/>
      <c r="J235" s="22">
        <f>IF(OR(H235="",I235=""),"",IF(I235="Single Pay",0,H235*IFERROR(INDEX(Lists!$D$2:$D$6,MATCH(I235,Lists!$C$2:$C$6,0)),0)))</f>
        <v/>
      </c>
      <c r="K235" s="31" t="n"/>
      <c r="L235" s="31" t="n"/>
      <c r="M235" s="32" t="n"/>
      <c r="N235" s="25">
        <f>IF(OR(L235="",M235=""),"",EDATE(L235,12*M235))</f>
        <v/>
      </c>
      <c r="O235" s="28" t="n"/>
      <c r="P235" s="32" t="n"/>
      <c r="Q235" s="31" t="n"/>
      <c r="R235" s="26">
        <f>IF(Q235="","",Q235-TODAY())</f>
        <v/>
      </c>
      <c r="S235" s="22">
        <f>IF(A235="","",SUMIFS(Payments!$C$2:$C$301,Payments!$B$2:$B$301,A235))</f>
        <v/>
      </c>
      <c r="T235" s="27">
        <f>IF(A235="","",SUMIFS(Beneficiaries!$E$2:$E$301,Beneficiaries!$A$2:$A$301,A235,Beneficiaries!$D$2:$D$301,"Primary"))</f>
        <v/>
      </c>
      <c r="U235" s="28" t="n"/>
      <c r="V235" s="28" t="n"/>
    </row>
    <row r="236">
      <c r="A236" s="28" t="n"/>
      <c r="B236" s="28" t="n"/>
      <c r="C236" s="28" t="n"/>
      <c r="D236" s="28" t="n"/>
      <c r="E236" s="28" t="n"/>
      <c r="F236" s="28" t="n"/>
      <c r="G236" s="29" t="n"/>
      <c r="H236" s="30" t="n"/>
      <c r="I236" s="28" t="n"/>
      <c r="J236" s="22">
        <f>IF(OR(H236="",I236=""),"",IF(I236="Single Pay",0,H236*IFERROR(INDEX(Lists!$D$2:$D$6,MATCH(I236,Lists!$C$2:$C$6,0)),0)))</f>
        <v/>
      </c>
      <c r="K236" s="31" t="n"/>
      <c r="L236" s="31" t="n"/>
      <c r="M236" s="32" t="n"/>
      <c r="N236" s="25">
        <f>IF(OR(L236="",M236=""),"",EDATE(L236,12*M236))</f>
        <v/>
      </c>
      <c r="O236" s="28" t="n"/>
      <c r="P236" s="32" t="n"/>
      <c r="Q236" s="31" t="n"/>
      <c r="R236" s="26">
        <f>IF(Q236="","",Q236-TODAY())</f>
        <v/>
      </c>
      <c r="S236" s="22">
        <f>IF(A236="","",SUMIFS(Payments!$C$2:$C$301,Payments!$B$2:$B$301,A236))</f>
        <v/>
      </c>
      <c r="T236" s="27">
        <f>IF(A236="","",SUMIFS(Beneficiaries!$E$2:$E$301,Beneficiaries!$A$2:$A$301,A236,Beneficiaries!$D$2:$D$301,"Primary"))</f>
        <v/>
      </c>
      <c r="U236" s="28" t="n"/>
      <c r="V236" s="28" t="n"/>
    </row>
    <row r="237">
      <c r="A237" s="28" t="n"/>
      <c r="B237" s="28" t="n"/>
      <c r="C237" s="28" t="n"/>
      <c r="D237" s="28" t="n"/>
      <c r="E237" s="28" t="n"/>
      <c r="F237" s="28" t="n"/>
      <c r="G237" s="29" t="n"/>
      <c r="H237" s="30" t="n"/>
      <c r="I237" s="28" t="n"/>
      <c r="J237" s="22">
        <f>IF(OR(H237="",I237=""),"",IF(I237="Single Pay",0,H237*IFERROR(INDEX(Lists!$D$2:$D$6,MATCH(I237,Lists!$C$2:$C$6,0)),0)))</f>
        <v/>
      </c>
      <c r="K237" s="31" t="n"/>
      <c r="L237" s="31" t="n"/>
      <c r="M237" s="32" t="n"/>
      <c r="N237" s="25">
        <f>IF(OR(L237="",M237=""),"",EDATE(L237,12*M237))</f>
        <v/>
      </c>
      <c r="O237" s="28" t="n"/>
      <c r="P237" s="32" t="n"/>
      <c r="Q237" s="31" t="n"/>
      <c r="R237" s="26">
        <f>IF(Q237="","",Q237-TODAY())</f>
        <v/>
      </c>
      <c r="S237" s="22">
        <f>IF(A237="","",SUMIFS(Payments!$C$2:$C$301,Payments!$B$2:$B$301,A237))</f>
        <v/>
      </c>
      <c r="T237" s="27">
        <f>IF(A237="","",SUMIFS(Beneficiaries!$E$2:$E$301,Beneficiaries!$A$2:$A$301,A237,Beneficiaries!$D$2:$D$301,"Primary"))</f>
        <v/>
      </c>
      <c r="U237" s="28" t="n"/>
      <c r="V237" s="28" t="n"/>
    </row>
    <row r="238">
      <c r="A238" s="28" t="n"/>
      <c r="B238" s="28" t="n"/>
      <c r="C238" s="28" t="n"/>
      <c r="D238" s="28" t="n"/>
      <c r="E238" s="28" t="n"/>
      <c r="F238" s="28" t="n"/>
      <c r="G238" s="29" t="n"/>
      <c r="H238" s="30" t="n"/>
      <c r="I238" s="28" t="n"/>
      <c r="J238" s="22">
        <f>IF(OR(H238="",I238=""),"",IF(I238="Single Pay",0,H238*IFERROR(INDEX(Lists!$D$2:$D$6,MATCH(I238,Lists!$C$2:$C$6,0)),0)))</f>
        <v/>
      </c>
      <c r="K238" s="31" t="n"/>
      <c r="L238" s="31" t="n"/>
      <c r="M238" s="32" t="n"/>
      <c r="N238" s="25">
        <f>IF(OR(L238="",M238=""),"",EDATE(L238,12*M238))</f>
        <v/>
      </c>
      <c r="O238" s="28" t="n"/>
      <c r="P238" s="32" t="n"/>
      <c r="Q238" s="31" t="n"/>
      <c r="R238" s="26">
        <f>IF(Q238="","",Q238-TODAY())</f>
        <v/>
      </c>
      <c r="S238" s="22">
        <f>IF(A238="","",SUMIFS(Payments!$C$2:$C$301,Payments!$B$2:$B$301,A238))</f>
        <v/>
      </c>
      <c r="T238" s="27">
        <f>IF(A238="","",SUMIFS(Beneficiaries!$E$2:$E$301,Beneficiaries!$A$2:$A$301,A238,Beneficiaries!$D$2:$D$301,"Primary"))</f>
        <v/>
      </c>
      <c r="U238" s="28" t="n"/>
      <c r="V238" s="28" t="n"/>
    </row>
    <row r="239">
      <c r="A239" s="28" t="n"/>
      <c r="B239" s="28" t="n"/>
      <c r="C239" s="28" t="n"/>
      <c r="D239" s="28" t="n"/>
      <c r="E239" s="28" t="n"/>
      <c r="F239" s="28" t="n"/>
      <c r="G239" s="29" t="n"/>
      <c r="H239" s="30" t="n"/>
      <c r="I239" s="28" t="n"/>
      <c r="J239" s="22">
        <f>IF(OR(H239="",I239=""),"",IF(I239="Single Pay",0,H239*IFERROR(INDEX(Lists!$D$2:$D$6,MATCH(I239,Lists!$C$2:$C$6,0)),0)))</f>
        <v/>
      </c>
      <c r="K239" s="31" t="n"/>
      <c r="L239" s="31" t="n"/>
      <c r="M239" s="32" t="n"/>
      <c r="N239" s="25">
        <f>IF(OR(L239="",M239=""),"",EDATE(L239,12*M239))</f>
        <v/>
      </c>
      <c r="O239" s="28" t="n"/>
      <c r="P239" s="32" t="n"/>
      <c r="Q239" s="31" t="n"/>
      <c r="R239" s="26">
        <f>IF(Q239="","",Q239-TODAY())</f>
        <v/>
      </c>
      <c r="S239" s="22">
        <f>IF(A239="","",SUMIFS(Payments!$C$2:$C$301,Payments!$B$2:$B$301,A239))</f>
        <v/>
      </c>
      <c r="T239" s="27">
        <f>IF(A239="","",SUMIFS(Beneficiaries!$E$2:$E$301,Beneficiaries!$A$2:$A$301,A239,Beneficiaries!$D$2:$D$301,"Primary"))</f>
        <v/>
      </c>
      <c r="U239" s="28" t="n"/>
      <c r="V239" s="28" t="n"/>
    </row>
    <row r="240">
      <c r="A240" s="28" t="n"/>
      <c r="B240" s="28" t="n"/>
      <c r="C240" s="28" t="n"/>
      <c r="D240" s="28" t="n"/>
      <c r="E240" s="28" t="n"/>
      <c r="F240" s="28" t="n"/>
      <c r="G240" s="29" t="n"/>
      <c r="H240" s="30" t="n"/>
      <c r="I240" s="28" t="n"/>
      <c r="J240" s="22">
        <f>IF(OR(H240="",I240=""),"",IF(I240="Single Pay",0,H240*IFERROR(INDEX(Lists!$D$2:$D$6,MATCH(I240,Lists!$C$2:$C$6,0)),0)))</f>
        <v/>
      </c>
      <c r="K240" s="31" t="n"/>
      <c r="L240" s="31" t="n"/>
      <c r="M240" s="32" t="n"/>
      <c r="N240" s="25">
        <f>IF(OR(L240="",M240=""),"",EDATE(L240,12*M240))</f>
        <v/>
      </c>
      <c r="O240" s="28" t="n"/>
      <c r="P240" s="32" t="n"/>
      <c r="Q240" s="31" t="n"/>
      <c r="R240" s="26">
        <f>IF(Q240="","",Q240-TODAY())</f>
        <v/>
      </c>
      <c r="S240" s="22">
        <f>IF(A240="","",SUMIFS(Payments!$C$2:$C$301,Payments!$B$2:$B$301,A240))</f>
        <v/>
      </c>
      <c r="T240" s="27">
        <f>IF(A240="","",SUMIFS(Beneficiaries!$E$2:$E$301,Beneficiaries!$A$2:$A$301,A240,Beneficiaries!$D$2:$D$301,"Primary"))</f>
        <v/>
      </c>
      <c r="U240" s="28" t="n"/>
      <c r="V240" s="28" t="n"/>
    </row>
    <row r="241">
      <c r="A241" s="28" t="n"/>
      <c r="B241" s="28" t="n"/>
      <c r="C241" s="28" t="n"/>
      <c r="D241" s="28" t="n"/>
      <c r="E241" s="28" t="n"/>
      <c r="F241" s="28" t="n"/>
      <c r="G241" s="29" t="n"/>
      <c r="H241" s="30" t="n"/>
      <c r="I241" s="28" t="n"/>
      <c r="J241" s="22">
        <f>IF(OR(H241="",I241=""),"",IF(I241="Single Pay",0,H241*IFERROR(INDEX(Lists!$D$2:$D$6,MATCH(I241,Lists!$C$2:$C$6,0)),0)))</f>
        <v/>
      </c>
      <c r="K241" s="31" t="n"/>
      <c r="L241" s="31" t="n"/>
      <c r="M241" s="32" t="n"/>
      <c r="N241" s="25">
        <f>IF(OR(L241="",M241=""),"",EDATE(L241,12*M241))</f>
        <v/>
      </c>
      <c r="O241" s="28" t="n"/>
      <c r="P241" s="32" t="n"/>
      <c r="Q241" s="31" t="n"/>
      <c r="R241" s="26">
        <f>IF(Q241="","",Q241-TODAY())</f>
        <v/>
      </c>
      <c r="S241" s="22">
        <f>IF(A241="","",SUMIFS(Payments!$C$2:$C$301,Payments!$B$2:$B$301,A241))</f>
        <v/>
      </c>
      <c r="T241" s="27">
        <f>IF(A241="","",SUMIFS(Beneficiaries!$E$2:$E$301,Beneficiaries!$A$2:$A$301,A241,Beneficiaries!$D$2:$D$301,"Primary"))</f>
        <v/>
      </c>
      <c r="U241" s="28" t="n"/>
      <c r="V241" s="28" t="n"/>
    </row>
    <row r="242">
      <c r="A242" s="28" t="n"/>
      <c r="B242" s="28" t="n"/>
      <c r="C242" s="28" t="n"/>
      <c r="D242" s="28" t="n"/>
      <c r="E242" s="28" t="n"/>
      <c r="F242" s="28" t="n"/>
      <c r="G242" s="29" t="n"/>
      <c r="H242" s="30" t="n"/>
      <c r="I242" s="28" t="n"/>
      <c r="J242" s="22">
        <f>IF(OR(H242="",I242=""),"",IF(I242="Single Pay",0,H242*IFERROR(INDEX(Lists!$D$2:$D$6,MATCH(I242,Lists!$C$2:$C$6,0)),0)))</f>
        <v/>
      </c>
      <c r="K242" s="31" t="n"/>
      <c r="L242" s="31" t="n"/>
      <c r="M242" s="32" t="n"/>
      <c r="N242" s="25">
        <f>IF(OR(L242="",M242=""),"",EDATE(L242,12*M242))</f>
        <v/>
      </c>
      <c r="O242" s="28" t="n"/>
      <c r="P242" s="32" t="n"/>
      <c r="Q242" s="31" t="n"/>
      <c r="R242" s="26">
        <f>IF(Q242="","",Q242-TODAY())</f>
        <v/>
      </c>
      <c r="S242" s="22">
        <f>IF(A242="","",SUMIFS(Payments!$C$2:$C$301,Payments!$B$2:$B$301,A242))</f>
        <v/>
      </c>
      <c r="T242" s="27">
        <f>IF(A242="","",SUMIFS(Beneficiaries!$E$2:$E$301,Beneficiaries!$A$2:$A$301,A242,Beneficiaries!$D$2:$D$301,"Primary"))</f>
        <v/>
      </c>
      <c r="U242" s="28" t="n"/>
      <c r="V242" s="28" t="n"/>
    </row>
    <row r="243">
      <c r="A243" s="28" t="n"/>
      <c r="B243" s="28" t="n"/>
      <c r="C243" s="28" t="n"/>
      <c r="D243" s="28" t="n"/>
      <c r="E243" s="28" t="n"/>
      <c r="F243" s="28" t="n"/>
      <c r="G243" s="29" t="n"/>
      <c r="H243" s="30" t="n"/>
      <c r="I243" s="28" t="n"/>
      <c r="J243" s="22">
        <f>IF(OR(H243="",I243=""),"",IF(I243="Single Pay",0,H243*IFERROR(INDEX(Lists!$D$2:$D$6,MATCH(I243,Lists!$C$2:$C$6,0)),0)))</f>
        <v/>
      </c>
      <c r="K243" s="31" t="n"/>
      <c r="L243" s="31" t="n"/>
      <c r="M243" s="32" t="n"/>
      <c r="N243" s="25">
        <f>IF(OR(L243="",M243=""),"",EDATE(L243,12*M243))</f>
        <v/>
      </c>
      <c r="O243" s="28" t="n"/>
      <c r="P243" s="32" t="n"/>
      <c r="Q243" s="31" t="n"/>
      <c r="R243" s="26">
        <f>IF(Q243="","",Q243-TODAY())</f>
        <v/>
      </c>
      <c r="S243" s="22">
        <f>IF(A243="","",SUMIFS(Payments!$C$2:$C$301,Payments!$B$2:$B$301,A243))</f>
        <v/>
      </c>
      <c r="T243" s="27">
        <f>IF(A243="","",SUMIFS(Beneficiaries!$E$2:$E$301,Beneficiaries!$A$2:$A$301,A243,Beneficiaries!$D$2:$D$301,"Primary"))</f>
        <v/>
      </c>
      <c r="U243" s="28" t="n"/>
      <c r="V243" s="28" t="n"/>
    </row>
    <row r="244">
      <c r="A244" s="28" t="n"/>
      <c r="B244" s="28" t="n"/>
      <c r="C244" s="28" t="n"/>
      <c r="D244" s="28" t="n"/>
      <c r="E244" s="28" t="n"/>
      <c r="F244" s="28" t="n"/>
      <c r="G244" s="29" t="n"/>
      <c r="H244" s="30" t="n"/>
      <c r="I244" s="28" t="n"/>
      <c r="J244" s="22">
        <f>IF(OR(H244="",I244=""),"",IF(I244="Single Pay",0,H244*IFERROR(INDEX(Lists!$D$2:$D$6,MATCH(I244,Lists!$C$2:$C$6,0)),0)))</f>
        <v/>
      </c>
      <c r="K244" s="31" t="n"/>
      <c r="L244" s="31" t="n"/>
      <c r="M244" s="32" t="n"/>
      <c r="N244" s="25">
        <f>IF(OR(L244="",M244=""),"",EDATE(L244,12*M244))</f>
        <v/>
      </c>
      <c r="O244" s="28" t="n"/>
      <c r="P244" s="32" t="n"/>
      <c r="Q244" s="31" t="n"/>
      <c r="R244" s="26">
        <f>IF(Q244="","",Q244-TODAY())</f>
        <v/>
      </c>
      <c r="S244" s="22">
        <f>IF(A244="","",SUMIFS(Payments!$C$2:$C$301,Payments!$B$2:$B$301,A244))</f>
        <v/>
      </c>
      <c r="T244" s="27">
        <f>IF(A244="","",SUMIFS(Beneficiaries!$E$2:$E$301,Beneficiaries!$A$2:$A$301,A244,Beneficiaries!$D$2:$D$301,"Primary"))</f>
        <v/>
      </c>
      <c r="U244" s="28" t="n"/>
      <c r="V244" s="28" t="n"/>
    </row>
    <row r="245">
      <c r="A245" s="28" t="n"/>
      <c r="B245" s="28" t="n"/>
      <c r="C245" s="28" t="n"/>
      <c r="D245" s="28" t="n"/>
      <c r="E245" s="28" t="n"/>
      <c r="F245" s="28" t="n"/>
      <c r="G245" s="29" t="n"/>
      <c r="H245" s="30" t="n"/>
      <c r="I245" s="28" t="n"/>
      <c r="J245" s="22">
        <f>IF(OR(H245="",I245=""),"",IF(I245="Single Pay",0,H245*IFERROR(INDEX(Lists!$D$2:$D$6,MATCH(I245,Lists!$C$2:$C$6,0)),0)))</f>
        <v/>
      </c>
      <c r="K245" s="31" t="n"/>
      <c r="L245" s="31" t="n"/>
      <c r="M245" s="32" t="n"/>
      <c r="N245" s="25">
        <f>IF(OR(L245="",M245=""),"",EDATE(L245,12*M245))</f>
        <v/>
      </c>
      <c r="O245" s="28" t="n"/>
      <c r="P245" s="32" t="n"/>
      <c r="Q245" s="31" t="n"/>
      <c r="R245" s="26">
        <f>IF(Q245="","",Q245-TODAY())</f>
        <v/>
      </c>
      <c r="S245" s="22">
        <f>IF(A245="","",SUMIFS(Payments!$C$2:$C$301,Payments!$B$2:$B$301,A245))</f>
        <v/>
      </c>
      <c r="T245" s="27">
        <f>IF(A245="","",SUMIFS(Beneficiaries!$E$2:$E$301,Beneficiaries!$A$2:$A$301,A245,Beneficiaries!$D$2:$D$301,"Primary"))</f>
        <v/>
      </c>
      <c r="U245" s="28" t="n"/>
      <c r="V245" s="28" t="n"/>
    </row>
    <row r="246">
      <c r="A246" s="28" t="n"/>
      <c r="B246" s="28" t="n"/>
      <c r="C246" s="28" t="n"/>
      <c r="D246" s="28" t="n"/>
      <c r="E246" s="28" t="n"/>
      <c r="F246" s="28" t="n"/>
      <c r="G246" s="29" t="n"/>
      <c r="H246" s="30" t="n"/>
      <c r="I246" s="28" t="n"/>
      <c r="J246" s="22">
        <f>IF(OR(H246="",I246=""),"",IF(I246="Single Pay",0,H246*IFERROR(INDEX(Lists!$D$2:$D$6,MATCH(I246,Lists!$C$2:$C$6,0)),0)))</f>
        <v/>
      </c>
      <c r="K246" s="31" t="n"/>
      <c r="L246" s="31" t="n"/>
      <c r="M246" s="32" t="n"/>
      <c r="N246" s="25">
        <f>IF(OR(L246="",M246=""),"",EDATE(L246,12*M246))</f>
        <v/>
      </c>
      <c r="O246" s="28" t="n"/>
      <c r="P246" s="32" t="n"/>
      <c r="Q246" s="31" t="n"/>
      <c r="R246" s="26">
        <f>IF(Q246="","",Q246-TODAY())</f>
        <v/>
      </c>
      <c r="S246" s="22">
        <f>IF(A246="","",SUMIFS(Payments!$C$2:$C$301,Payments!$B$2:$B$301,A246))</f>
        <v/>
      </c>
      <c r="T246" s="27">
        <f>IF(A246="","",SUMIFS(Beneficiaries!$E$2:$E$301,Beneficiaries!$A$2:$A$301,A246,Beneficiaries!$D$2:$D$301,"Primary"))</f>
        <v/>
      </c>
      <c r="U246" s="28" t="n"/>
      <c r="V246" s="28" t="n"/>
    </row>
    <row r="247">
      <c r="A247" s="28" t="n"/>
      <c r="B247" s="28" t="n"/>
      <c r="C247" s="28" t="n"/>
      <c r="D247" s="28" t="n"/>
      <c r="E247" s="28" t="n"/>
      <c r="F247" s="28" t="n"/>
      <c r="G247" s="29" t="n"/>
      <c r="H247" s="30" t="n"/>
      <c r="I247" s="28" t="n"/>
      <c r="J247" s="22">
        <f>IF(OR(H247="",I247=""),"",IF(I247="Single Pay",0,H247*IFERROR(INDEX(Lists!$D$2:$D$6,MATCH(I247,Lists!$C$2:$C$6,0)),0)))</f>
        <v/>
      </c>
      <c r="K247" s="31" t="n"/>
      <c r="L247" s="31" t="n"/>
      <c r="M247" s="32" t="n"/>
      <c r="N247" s="25">
        <f>IF(OR(L247="",M247=""),"",EDATE(L247,12*M247))</f>
        <v/>
      </c>
      <c r="O247" s="28" t="n"/>
      <c r="P247" s="32" t="n"/>
      <c r="Q247" s="31" t="n"/>
      <c r="R247" s="26">
        <f>IF(Q247="","",Q247-TODAY())</f>
        <v/>
      </c>
      <c r="S247" s="22">
        <f>IF(A247="","",SUMIFS(Payments!$C$2:$C$301,Payments!$B$2:$B$301,A247))</f>
        <v/>
      </c>
      <c r="T247" s="27">
        <f>IF(A247="","",SUMIFS(Beneficiaries!$E$2:$E$301,Beneficiaries!$A$2:$A$301,A247,Beneficiaries!$D$2:$D$301,"Primary"))</f>
        <v/>
      </c>
      <c r="U247" s="28" t="n"/>
      <c r="V247" s="28" t="n"/>
    </row>
    <row r="248">
      <c r="A248" s="28" t="n"/>
      <c r="B248" s="28" t="n"/>
      <c r="C248" s="28" t="n"/>
      <c r="D248" s="28" t="n"/>
      <c r="E248" s="28" t="n"/>
      <c r="F248" s="28" t="n"/>
      <c r="G248" s="29" t="n"/>
      <c r="H248" s="30" t="n"/>
      <c r="I248" s="28" t="n"/>
      <c r="J248" s="22">
        <f>IF(OR(H248="",I248=""),"",IF(I248="Single Pay",0,H248*IFERROR(INDEX(Lists!$D$2:$D$6,MATCH(I248,Lists!$C$2:$C$6,0)),0)))</f>
        <v/>
      </c>
      <c r="K248" s="31" t="n"/>
      <c r="L248" s="31" t="n"/>
      <c r="M248" s="32" t="n"/>
      <c r="N248" s="25">
        <f>IF(OR(L248="",M248=""),"",EDATE(L248,12*M248))</f>
        <v/>
      </c>
      <c r="O248" s="28" t="n"/>
      <c r="P248" s="32" t="n"/>
      <c r="Q248" s="31" t="n"/>
      <c r="R248" s="26">
        <f>IF(Q248="","",Q248-TODAY())</f>
        <v/>
      </c>
      <c r="S248" s="22">
        <f>IF(A248="","",SUMIFS(Payments!$C$2:$C$301,Payments!$B$2:$B$301,A248))</f>
        <v/>
      </c>
      <c r="T248" s="27">
        <f>IF(A248="","",SUMIFS(Beneficiaries!$E$2:$E$301,Beneficiaries!$A$2:$A$301,A248,Beneficiaries!$D$2:$D$301,"Primary"))</f>
        <v/>
      </c>
      <c r="U248" s="28" t="n"/>
      <c r="V248" s="28" t="n"/>
    </row>
    <row r="249">
      <c r="A249" s="28" t="n"/>
      <c r="B249" s="28" t="n"/>
      <c r="C249" s="28" t="n"/>
      <c r="D249" s="28" t="n"/>
      <c r="E249" s="28" t="n"/>
      <c r="F249" s="28" t="n"/>
      <c r="G249" s="29" t="n"/>
      <c r="H249" s="30" t="n"/>
      <c r="I249" s="28" t="n"/>
      <c r="J249" s="22">
        <f>IF(OR(H249="",I249=""),"",IF(I249="Single Pay",0,H249*IFERROR(INDEX(Lists!$D$2:$D$6,MATCH(I249,Lists!$C$2:$C$6,0)),0)))</f>
        <v/>
      </c>
      <c r="K249" s="31" t="n"/>
      <c r="L249" s="31" t="n"/>
      <c r="M249" s="32" t="n"/>
      <c r="N249" s="25">
        <f>IF(OR(L249="",M249=""),"",EDATE(L249,12*M249))</f>
        <v/>
      </c>
      <c r="O249" s="28" t="n"/>
      <c r="P249" s="32" t="n"/>
      <c r="Q249" s="31" t="n"/>
      <c r="R249" s="26">
        <f>IF(Q249="","",Q249-TODAY())</f>
        <v/>
      </c>
      <c r="S249" s="22">
        <f>IF(A249="","",SUMIFS(Payments!$C$2:$C$301,Payments!$B$2:$B$301,A249))</f>
        <v/>
      </c>
      <c r="T249" s="27">
        <f>IF(A249="","",SUMIFS(Beneficiaries!$E$2:$E$301,Beneficiaries!$A$2:$A$301,A249,Beneficiaries!$D$2:$D$301,"Primary"))</f>
        <v/>
      </c>
      <c r="U249" s="28" t="n"/>
      <c r="V249" s="28" t="n"/>
    </row>
    <row r="250">
      <c r="A250" s="28" t="n"/>
      <c r="B250" s="28" t="n"/>
      <c r="C250" s="28" t="n"/>
      <c r="D250" s="28" t="n"/>
      <c r="E250" s="28" t="n"/>
      <c r="F250" s="28" t="n"/>
      <c r="G250" s="29" t="n"/>
      <c r="H250" s="30" t="n"/>
      <c r="I250" s="28" t="n"/>
      <c r="J250" s="22">
        <f>IF(OR(H250="",I250=""),"",IF(I250="Single Pay",0,H250*IFERROR(INDEX(Lists!$D$2:$D$6,MATCH(I250,Lists!$C$2:$C$6,0)),0)))</f>
        <v/>
      </c>
      <c r="K250" s="31" t="n"/>
      <c r="L250" s="31" t="n"/>
      <c r="M250" s="32" t="n"/>
      <c r="N250" s="25">
        <f>IF(OR(L250="",M250=""),"",EDATE(L250,12*M250))</f>
        <v/>
      </c>
      <c r="O250" s="28" t="n"/>
      <c r="P250" s="32" t="n"/>
      <c r="Q250" s="31" t="n"/>
      <c r="R250" s="26">
        <f>IF(Q250="","",Q250-TODAY())</f>
        <v/>
      </c>
      <c r="S250" s="22">
        <f>IF(A250="","",SUMIFS(Payments!$C$2:$C$301,Payments!$B$2:$B$301,A250))</f>
        <v/>
      </c>
      <c r="T250" s="27">
        <f>IF(A250="","",SUMIFS(Beneficiaries!$E$2:$E$301,Beneficiaries!$A$2:$A$301,A250,Beneficiaries!$D$2:$D$301,"Primary"))</f>
        <v/>
      </c>
      <c r="U250" s="28" t="n"/>
      <c r="V250" s="28" t="n"/>
    </row>
    <row r="251">
      <c r="A251" s="28" t="n"/>
      <c r="B251" s="28" t="n"/>
      <c r="C251" s="28" t="n"/>
      <c r="D251" s="28" t="n"/>
      <c r="E251" s="28" t="n"/>
      <c r="F251" s="28" t="n"/>
      <c r="G251" s="29" t="n"/>
      <c r="H251" s="30" t="n"/>
      <c r="I251" s="28" t="n"/>
      <c r="J251" s="22">
        <f>IF(OR(H251="",I251=""),"",IF(I251="Single Pay",0,H251*IFERROR(INDEX(Lists!$D$2:$D$6,MATCH(I251,Lists!$C$2:$C$6,0)),0)))</f>
        <v/>
      </c>
      <c r="K251" s="31" t="n"/>
      <c r="L251" s="31" t="n"/>
      <c r="M251" s="32" t="n"/>
      <c r="N251" s="25">
        <f>IF(OR(L251="",M251=""),"",EDATE(L251,12*M251))</f>
        <v/>
      </c>
      <c r="O251" s="28" t="n"/>
      <c r="P251" s="32" t="n"/>
      <c r="Q251" s="31" t="n"/>
      <c r="R251" s="26">
        <f>IF(Q251="","",Q251-TODAY())</f>
        <v/>
      </c>
      <c r="S251" s="22">
        <f>IF(A251="","",SUMIFS(Payments!$C$2:$C$301,Payments!$B$2:$B$301,A251))</f>
        <v/>
      </c>
      <c r="T251" s="27">
        <f>IF(A251="","",SUMIFS(Beneficiaries!$E$2:$E$301,Beneficiaries!$A$2:$A$301,A251,Beneficiaries!$D$2:$D$301,"Primary"))</f>
        <v/>
      </c>
      <c r="U251" s="28" t="n"/>
      <c r="V251" s="28" t="n"/>
    </row>
    <row r="252">
      <c r="A252" s="28" t="n"/>
      <c r="B252" s="28" t="n"/>
      <c r="C252" s="28" t="n"/>
      <c r="D252" s="28" t="n"/>
      <c r="E252" s="28" t="n"/>
      <c r="F252" s="28" t="n"/>
      <c r="G252" s="29" t="n"/>
      <c r="H252" s="30" t="n"/>
      <c r="I252" s="28" t="n"/>
      <c r="J252" s="22">
        <f>IF(OR(H252="",I252=""),"",IF(I252="Single Pay",0,H252*IFERROR(INDEX(Lists!$D$2:$D$6,MATCH(I252,Lists!$C$2:$C$6,0)),0)))</f>
        <v/>
      </c>
      <c r="K252" s="31" t="n"/>
      <c r="L252" s="31" t="n"/>
      <c r="M252" s="32" t="n"/>
      <c r="N252" s="25">
        <f>IF(OR(L252="",M252=""),"",EDATE(L252,12*M252))</f>
        <v/>
      </c>
      <c r="O252" s="28" t="n"/>
      <c r="P252" s="32" t="n"/>
      <c r="Q252" s="31" t="n"/>
      <c r="R252" s="26">
        <f>IF(Q252="","",Q252-TODAY())</f>
        <v/>
      </c>
      <c r="S252" s="22">
        <f>IF(A252="","",SUMIFS(Payments!$C$2:$C$301,Payments!$B$2:$B$301,A252))</f>
        <v/>
      </c>
      <c r="T252" s="27">
        <f>IF(A252="","",SUMIFS(Beneficiaries!$E$2:$E$301,Beneficiaries!$A$2:$A$301,A252,Beneficiaries!$D$2:$D$301,"Primary"))</f>
        <v/>
      </c>
      <c r="U252" s="28" t="n"/>
      <c r="V252" s="28" t="n"/>
    </row>
    <row r="253">
      <c r="A253" s="28" t="n"/>
      <c r="B253" s="28" t="n"/>
      <c r="C253" s="28" t="n"/>
      <c r="D253" s="28" t="n"/>
      <c r="E253" s="28" t="n"/>
      <c r="F253" s="28" t="n"/>
      <c r="G253" s="29" t="n"/>
      <c r="H253" s="30" t="n"/>
      <c r="I253" s="28" t="n"/>
      <c r="J253" s="22">
        <f>IF(OR(H253="",I253=""),"",IF(I253="Single Pay",0,H253*IFERROR(INDEX(Lists!$D$2:$D$6,MATCH(I253,Lists!$C$2:$C$6,0)),0)))</f>
        <v/>
      </c>
      <c r="K253" s="31" t="n"/>
      <c r="L253" s="31" t="n"/>
      <c r="M253" s="32" t="n"/>
      <c r="N253" s="25">
        <f>IF(OR(L253="",M253=""),"",EDATE(L253,12*M253))</f>
        <v/>
      </c>
      <c r="O253" s="28" t="n"/>
      <c r="P253" s="32" t="n"/>
      <c r="Q253" s="31" t="n"/>
      <c r="R253" s="26">
        <f>IF(Q253="","",Q253-TODAY())</f>
        <v/>
      </c>
      <c r="S253" s="22">
        <f>IF(A253="","",SUMIFS(Payments!$C$2:$C$301,Payments!$B$2:$B$301,A253))</f>
        <v/>
      </c>
      <c r="T253" s="27">
        <f>IF(A253="","",SUMIFS(Beneficiaries!$E$2:$E$301,Beneficiaries!$A$2:$A$301,A253,Beneficiaries!$D$2:$D$301,"Primary"))</f>
        <v/>
      </c>
      <c r="U253" s="28" t="n"/>
      <c r="V253" s="28" t="n"/>
    </row>
    <row r="254">
      <c r="A254" s="28" t="n"/>
      <c r="B254" s="28" t="n"/>
      <c r="C254" s="28" t="n"/>
      <c r="D254" s="28" t="n"/>
      <c r="E254" s="28" t="n"/>
      <c r="F254" s="28" t="n"/>
      <c r="G254" s="29" t="n"/>
      <c r="H254" s="30" t="n"/>
      <c r="I254" s="28" t="n"/>
      <c r="J254" s="22">
        <f>IF(OR(H254="",I254=""),"",IF(I254="Single Pay",0,H254*IFERROR(INDEX(Lists!$D$2:$D$6,MATCH(I254,Lists!$C$2:$C$6,0)),0)))</f>
        <v/>
      </c>
      <c r="K254" s="31" t="n"/>
      <c r="L254" s="31" t="n"/>
      <c r="M254" s="32" t="n"/>
      <c r="N254" s="25">
        <f>IF(OR(L254="",M254=""),"",EDATE(L254,12*M254))</f>
        <v/>
      </c>
      <c r="O254" s="28" t="n"/>
      <c r="P254" s="32" t="n"/>
      <c r="Q254" s="31" t="n"/>
      <c r="R254" s="26">
        <f>IF(Q254="","",Q254-TODAY())</f>
        <v/>
      </c>
      <c r="S254" s="22">
        <f>IF(A254="","",SUMIFS(Payments!$C$2:$C$301,Payments!$B$2:$B$301,A254))</f>
        <v/>
      </c>
      <c r="T254" s="27">
        <f>IF(A254="","",SUMIFS(Beneficiaries!$E$2:$E$301,Beneficiaries!$A$2:$A$301,A254,Beneficiaries!$D$2:$D$301,"Primary"))</f>
        <v/>
      </c>
      <c r="U254" s="28" t="n"/>
      <c r="V254" s="28" t="n"/>
    </row>
    <row r="255">
      <c r="A255" s="28" t="n"/>
      <c r="B255" s="28" t="n"/>
      <c r="C255" s="28" t="n"/>
      <c r="D255" s="28" t="n"/>
      <c r="E255" s="28" t="n"/>
      <c r="F255" s="28" t="n"/>
      <c r="G255" s="29" t="n"/>
      <c r="H255" s="30" t="n"/>
      <c r="I255" s="28" t="n"/>
      <c r="J255" s="22">
        <f>IF(OR(H255="",I255=""),"",IF(I255="Single Pay",0,H255*IFERROR(INDEX(Lists!$D$2:$D$6,MATCH(I255,Lists!$C$2:$C$6,0)),0)))</f>
        <v/>
      </c>
      <c r="K255" s="31" t="n"/>
      <c r="L255" s="31" t="n"/>
      <c r="M255" s="32" t="n"/>
      <c r="N255" s="25">
        <f>IF(OR(L255="",M255=""),"",EDATE(L255,12*M255))</f>
        <v/>
      </c>
      <c r="O255" s="28" t="n"/>
      <c r="P255" s="32" t="n"/>
      <c r="Q255" s="31" t="n"/>
      <c r="R255" s="26">
        <f>IF(Q255="","",Q255-TODAY())</f>
        <v/>
      </c>
      <c r="S255" s="22">
        <f>IF(A255="","",SUMIFS(Payments!$C$2:$C$301,Payments!$B$2:$B$301,A255))</f>
        <v/>
      </c>
      <c r="T255" s="27">
        <f>IF(A255="","",SUMIFS(Beneficiaries!$E$2:$E$301,Beneficiaries!$A$2:$A$301,A255,Beneficiaries!$D$2:$D$301,"Primary"))</f>
        <v/>
      </c>
      <c r="U255" s="28" t="n"/>
      <c r="V255" s="28" t="n"/>
    </row>
    <row r="256">
      <c r="A256" s="28" t="n"/>
      <c r="B256" s="28" t="n"/>
      <c r="C256" s="28" t="n"/>
      <c r="D256" s="28" t="n"/>
      <c r="E256" s="28" t="n"/>
      <c r="F256" s="28" t="n"/>
      <c r="G256" s="29" t="n"/>
      <c r="H256" s="30" t="n"/>
      <c r="I256" s="28" t="n"/>
      <c r="J256" s="22">
        <f>IF(OR(H256="",I256=""),"",IF(I256="Single Pay",0,H256*IFERROR(INDEX(Lists!$D$2:$D$6,MATCH(I256,Lists!$C$2:$C$6,0)),0)))</f>
        <v/>
      </c>
      <c r="K256" s="31" t="n"/>
      <c r="L256" s="31" t="n"/>
      <c r="M256" s="32" t="n"/>
      <c r="N256" s="25">
        <f>IF(OR(L256="",M256=""),"",EDATE(L256,12*M256))</f>
        <v/>
      </c>
      <c r="O256" s="28" t="n"/>
      <c r="P256" s="32" t="n"/>
      <c r="Q256" s="31" t="n"/>
      <c r="R256" s="26">
        <f>IF(Q256="","",Q256-TODAY())</f>
        <v/>
      </c>
      <c r="S256" s="22">
        <f>IF(A256="","",SUMIFS(Payments!$C$2:$C$301,Payments!$B$2:$B$301,A256))</f>
        <v/>
      </c>
      <c r="T256" s="27">
        <f>IF(A256="","",SUMIFS(Beneficiaries!$E$2:$E$301,Beneficiaries!$A$2:$A$301,A256,Beneficiaries!$D$2:$D$301,"Primary"))</f>
        <v/>
      </c>
      <c r="U256" s="28" t="n"/>
      <c r="V256" s="28" t="n"/>
    </row>
    <row r="257">
      <c r="A257" s="28" t="n"/>
      <c r="B257" s="28" t="n"/>
      <c r="C257" s="28" t="n"/>
      <c r="D257" s="28" t="n"/>
      <c r="E257" s="28" t="n"/>
      <c r="F257" s="28" t="n"/>
      <c r="G257" s="29" t="n"/>
      <c r="H257" s="30" t="n"/>
      <c r="I257" s="28" t="n"/>
      <c r="J257" s="22">
        <f>IF(OR(H257="",I257=""),"",IF(I257="Single Pay",0,H257*IFERROR(INDEX(Lists!$D$2:$D$6,MATCH(I257,Lists!$C$2:$C$6,0)),0)))</f>
        <v/>
      </c>
      <c r="K257" s="31" t="n"/>
      <c r="L257" s="31" t="n"/>
      <c r="M257" s="32" t="n"/>
      <c r="N257" s="25">
        <f>IF(OR(L257="",M257=""),"",EDATE(L257,12*M257))</f>
        <v/>
      </c>
      <c r="O257" s="28" t="n"/>
      <c r="P257" s="32" t="n"/>
      <c r="Q257" s="31" t="n"/>
      <c r="R257" s="26">
        <f>IF(Q257="","",Q257-TODAY())</f>
        <v/>
      </c>
      <c r="S257" s="22">
        <f>IF(A257="","",SUMIFS(Payments!$C$2:$C$301,Payments!$B$2:$B$301,A257))</f>
        <v/>
      </c>
      <c r="T257" s="27">
        <f>IF(A257="","",SUMIFS(Beneficiaries!$E$2:$E$301,Beneficiaries!$A$2:$A$301,A257,Beneficiaries!$D$2:$D$301,"Primary"))</f>
        <v/>
      </c>
      <c r="U257" s="28" t="n"/>
      <c r="V257" s="28" t="n"/>
    </row>
    <row r="258">
      <c r="A258" s="28" t="n"/>
      <c r="B258" s="28" t="n"/>
      <c r="C258" s="28" t="n"/>
      <c r="D258" s="28" t="n"/>
      <c r="E258" s="28" t="n"/>
      <c r="F258" s="28" t="n"/>
      <c r="G258" s="29" t="n"/>
      <c r="H258" s="30" t="n"/>
      <c r="I258" s="28" t="n"/>
      <c r="J258" s="22">
        <f>IF(OR(H258="",I258=""),"",IF(I258="Single Pay",0,H258*IFERROR(INDEX(Lists!$D$2:$D$6,MATCH(I258,Lists!$C$2:$C$6,0)),0)))</f>
        <v/>
      </c>
      <c r="K258" s="31" t="n"/>
      <c r="L258" s="31" t="n"/>
      <c r="M258" s="32" t="n"/>
      <c r="N258" s="25">
        <f>IF(OR(L258="",M258=""),"",EDATE(L258,12*M258))</f>
        <v/>
      </c>
      <c r="O258" s="28" t="n"/>
      <c r="P258" s="32" t="n"/>
      <c r="Q258" s="31" t="n"/>
      <c r="R258" s="26">
        <f>IF(Q258="","",Q258-TODAY())</f>
        <v/>
      </c>
      <c r="S258" s="22">
        <f>IF(A258="","",SUMIFS(Payments!$C$2:$C$301,Payments!$B$2:$B$301,A258))</f>
        <v/>
      </c>
      <c r="T258" s="27">
        <f>IF(A258="","",SUMIFS(Beneficiaries!$E$2:$E$301,Beneficiaries!$A$2:$A$301,A258,Beneficiaries!$D$2:$D$301,"Primary"))</f>
        <v/>
      </c>
      <c r="U258" s="28" t="n"/>
      <c r="V258" s="28" t="n"/>
    </row>
    <row r="259">
      <c r="A259" s="28" t="n"/>
      <c r="B259" s="28" t="n"/>
      <c r="C259" s="28" t="n"/>
      <c r="D259" s="28" t="n"/>
      <c r="E259" s="28" t="n"/>
      <c r="F259" s="28" t="n"/>
      <c r="G259" s="29" t="n"/>
      <c r="H259" s="30" t="n"/>
      <c r="I259" s="28" t="n"/>
      <c r="J259" s="22">
        <f>IF(OR(H259="",I259=""),"",IF(I259="Single Pay",0,H259*IFERROR(INDEX(Lists!$D$2:$D$6,MATCH(I259,Lists!$C$2:$C$6,0)),0)))</f>
        <v/>
      </c>
      <c r="K259" s="31" t="n"/>
      <c r="L259" s="31" t="n"/>
      <c r="M259" s="32" t="n"/>
      <c r="N259" s="25">
        <f>IF(OR(L259="",M259=""),"",EDATE(L259,12*M259))</f>
        <v/>
      </c>
      <c r="O259" s="28" t="n"/>
      <c r="P259" s="32" t="n"/>
      <c r="Q259" s="31" t="n"/>
      <c r="R259" s="26">
        <f>IF(Q259="","",Q259-TODAY())</f>
        <v/>
      </c>
      <c r="S259" s="22">
        <f>IF(A259="","",SUMIFS(Payments!$C$2:$C$301,Payments!$B$2:$B$301,A259))</f>
        <v/>
      </c>
      <c r="T259" s="27">
        <f>IF(A259="","",SUMIFS(Beneficiaries!$E$2:$E$301,Beneficiaries!$A$2:$A$301,A259,Beneficiaries!$D$2:$D$301,"Primary"))</f>
        <v/>
      </c>
      <c r="U259" s="28" t="n"/>
      <c r="V259" s="28" t="n"/>
    </row>
    <row r="260">
      <c r="A260" s="28" t="n"/>
      <c r="B260" s="28" t="n"/>
      <c r="C260" s="28" t="n"/>
      <c r="D260" s="28" t="n"/>
      <c r="E260" s="28" t="n"/>
      <c r="F260" s="28" t="n"/>
      <c r="G260" s="29" t="n"/>
      <c r="H260" s="30" t="n"/>
      <c r="I260" s="28" t="n"/>
      <c r="J260" s="22">
        <f>IF(OR(H260="",I260=""),"",IF(I260="Single Pay",0,H260*IFERROR(INDEX(Lists!$D$2:$D$6,MATCH(I260,Lists!$C$2:$C$6,0)),0)))</f>
        <v/>
      </c>
      <c r="K260" s="31" t="n"/>
      <c r="L260" s="31" t="n"/>
      <c r="M260" s="32" t="n"/>
      <c r="N260" s="25">
        <f>IF(OR(L260="",M260=""),"",EDATE(L260,12*M260))</f>
        <v/>
      </c>
      <c r="O260" s="28" t="n"/>
      <c r="P260" s="32" t="n"/>
      <c r="Q260" s="31" t="n"/>
      <c r="R260" s="26">
        <f>IF(Q260="","",Q260-TODAY())</f>
        <v/>
      </c>
      <c r="S260" s="22">
        <f>IF(A260="","",SUMIFS(Payments!$C$2:$C$301,Payments!$B$2:$B$301,A260))</f>
        <v/>
      </c>
      <c r="T260" s="27">
        <f>IF(A260="","",SUMIFS(Beneficiaries!$E$2:$E$301,Beneficiaries!$A$2:$A$301,A260,Beneficiaries!$D$2:$D$301,"Primary"))</f>
        <v/>
      </c>
      <c r="U260" s="28" t="n"/>
      <c r="V260" s="28" t="n"/>
    </row>
    <row r="261">
      <c r="A261" s="28" t="n"/>
      <c r="B261" s="28" t="n"/>
      <c r="C261" s="28" t="n"/>
      <c r="D261" s="28" t="n"/>
      <c r="E261" s="28" t="n"/>
      <c r="F261" s="28" t="n"/>
      <c r="G261" s="29" t="n"/>
      <c r="H261" s="30" t="n"/>
      <c r="I261" s="28" t="n"/>
      <c r="J261" s="22">
        <f>IF(OR(H261="",I261=""),"",IF(I261="Single Pay",0,H261*IFERROR(INDEX(Lists!$D$2:$D$6,MATCH(I261,Lists!$C$2:$C$6,0)),0)))</f>
        <v/>
      </c>
      <c r="K261" s="31" t="n"/>
      <c r="L261" s="31" t="n"/>
      <c r="M261" s="32" t="n"/>
      <c r="N261" s="25">
        <f>IF(OR(L261="",M261=""),"",EDATE(L261,12*M261))</f>
        <v/>
      </c>
      <c r="O261" s="28" t="n"/>
      <c r="P261" s="32" t="n"/>
      <c r="Q261" s="31" t="n"/>
      <c r="R261" s="26">
        <f>IF(Q261="","",Q261-TODAY())</f>
        <v/>
      </c>
      <c r="S261" s="22">
        <f>IF(A261="","",SUMIFS(Payments!$C$2:$C$301,Payments!$B$2:$B$301,A261))</f>
        <v/>
      </c>
      <c r="T261" s="27">
        <f>IF(A261="","",SUMIFS(Beneficiaries!$E$2:$E$301,Beneficiaries!$A$2:$A$301,A261,Beneficiaries!$D$2:$D$301,"Primary"))</f>
        <v/>
      </c>
      <c r="U261" s="28" t="n"/>
      <c r="V261" s="28" t="n"/>
    </row>
    <row r="262">
      <c r="A262" s="28" t="n"/>
      <c r="B262" s="28" t="n"/>
      <c r="C262" s="28" t="n"/>
      <c r="D262" s="28" t="n"/>
      <c r="E262" s="28" t="n"/>
      <c r="F262" s="28" t="n"/>
      <c r="G262" s="29" t="n"/>
      <c r="H262" s="30" t="n"/>
      <c r="I262" s="28" t="n"/>
      <c r="J262" s="22">
        <f>IF(OR(H262="",I262=""),"",IF(I262="Single Pay",0,H262*IFERROR(INDEX(Lists!$D$2:$D$6,MATCH(I262,Lists!$C$2:$C$6,0)),0)))</f>
        <v/>
      </c>
      <c r="K262" s="31" t="n"/>
      <c r="L262" s="31" t="n"/>
      <c r="M262" s="32" t="n"/>
      <c r="N262" s="25">
        <f>IF(OR(L262="",M262=""),"",EDATE(L262,12*M262))</f>
        <v/>
      </c>
      <c r="O262" s="28" t="n"/>
      <c r="P262" s="32" t="n"/>
      <c r="Q262" s="31" t="n"/>
      <c r="R262" s="26">
        <f>IF(Q262="","",Q262-TODAY())</f>
        <v/>
      </c>
      <c r="S262" s="22">
        <f>IF(A262="","",SUMIFS(Payments!$C$2:$C$301,Payments!$B$2:$B$301,A262))</f>
        <v/>
      </c>
      <c r="T262" s="27">
        <f>IF(A262="","",SUMIFS(Beneficiaries!$E$2:$E$301,Beneficiaries!$A$2:$A$301,A262,Beneficiaries!$D$2:$D$301,"Primary"))</f>
        <v/>
      </c>
      <c r="U262" s="28" t="n"/>
      <c r="V262" s="28" t="n"/>
    </row>
    <row r="263">
      <c r="A263" s="28" t="n"/>
      <c r="B263" s="28" t="n"/>
      <c r="C263" s="28" t="n"/>
      <c r="D263" s="28" t="n"/>
      <c r="E263" s="28" t="n"/>
      <c r="F263" s="28" t="n"/>
      <c r="G263" s="29" t="n"/>
      <c r="H263" s="30" t="n"/>
      <c r="I263" s="28" t="n"/>
      <c r="J263" s="22">
        <f>IF(OR(H263="",I263=""),"",IF(I263="Single Pay",0,H263*IFERROR(INDEX(Lists!$D$2:$D$6,MATCH(I263,Lists!$C$2:$C$6,0)),0)))</f>
        <v/>
      </c>
      <c r="K263" s="31" t="n"/>
      <c r="L263" s="31" t="n"/>
      <c r="M263" s="32" t="n"/>
      <c r="N263" s="25">
        <f>IF(OR(L263="",M263=""),"",EDATE(L263,12*M263))</f>
        <v/>
      </c>
      <c r="O263" s="28" t="n"/>
      <c r="P263" s="32" t="n"/>
      <c r="Q263" s="31" t="n"/>
      <c r="R263" s="26">
        <f>IF(Q263="","",Q263-TODAY())</f>
        <v/>
      </c>
      <c r="S263" s="22">
        <f>IF(A263="","",SUMIFS(Payments!$C$2:$C$301,Payments!$B$2:$B$301,A263))</f>
        <v/>
      </c>
      <c r="T263" s="27">
        <f>IF(A263="","",SUMIFS(Beneficiaries!$E$2:$E$301,Beneficiaries!$A$2:$A$301,A263,Beneficiaries!$D$2:$D$301,"Primary"))</f>
        <v/>
      </c>
      <c r="U263" s="28" t="n"/>
      <c r="V263" s="28" t="n"/>
    </row>
    <row r="264">
      <c r="A264" s="28" t="n"/>
      <c r="B264" s="28" t="n"/>
      <c r="C264" s="28" t="n"/>
      <c r="D264" s="28" t="n"/>
      <c r="E264" s="28" t="n"/>
      <c r="F264" s="28" t="n"/>
      <c r="G264" s="29" t="n"/>
      <c r="H264" s="30" t="n"/>
      <c r="I264" s="28" t="n"/>
      <c r="J264" s="22">
        <f>IF(OR(H264="",I264=""),"",IF(I264="Single Pay",0,H264*IFERROR(INDEX(Lists!$D$2:$D$6,MATCH(I264,Lists!$C$2:$C$6,0)),0)))</f>
        <v/>
      </c>
      <c r="K264" s="31" t="n"/>
      <c r="L264" s="31" t="n"/>
      <c r="M264" s="32" t="n"/>
      <c r="N264" s="25">
        <f>IF(OR(L264="",M264=""),"",EDATE(L264,12*M264))</f>
        <v/>
      </c>
      <c r="O264" s="28" t="n"/>
      <c r="P264" s="32" t="n"/>
      <c r="Q264" s="31" t="n"/>
      <c r="R264" s="26">
        <f>IF(Q264="","",Q264-TODAY())</f>
        <v/>
      </c>
      <c r="S264" s="22">
        <f>IF(A264="","",SUMIFS(Payments!$C$2:$C$301,Payments!$B$2:$B$301,A264))</f>
        <v/>
      </c>
      <c r="T264" s="27">
        <f>IF(A264="","",SUMIFS(Beneficiaries!$E$2:$E$301,Beneficiaries!$A$2:$A$301,A264,Beneficiaries!$D$2:$D$301,"Primary"))</f>
        <v/>
      </c>
      <c r="U264" s="28" t="n"/>
      <c r="V264" s="28" t="n"/>
    </row>
    <row r="265">
      <c r="A265" s="28" t="n"/>
      <c r="B265" s="28" t="n"/>
      <c r="C265" s="28" t="n"/>
      <c r="D265" s="28" t="n"/>
      <c r="E265" s="28" t="n"/>
      <c r="F265" s="28" t="n"/>
      <c r="G265" s="29" t="n"/>
      <c r="H265" s="30" t="n"/>
      <c r="I265" s="28" t="n"/>
      <c r="J265" s="22">
        <f>IF(OR(H265="",I265=""),"",IF(I265="Single Pay",0,H265*IFERROR(INDEX(Lists!$D$2:$D$6,MATCH(I265,Lists!$C$2:$C$6,0)),0)))</f>
        <v/>
      </c>
      <c r="K265" s="31" t="n"/>
      <c r="L265" s="31" t="n"/>
      <c r="M265" s="32" t="n"/>
      <c r="N265" s="25">
        <f>IF(OR(L265="",M265=""),"",EDATE(L265,12*M265))</f>
        <v/>
      </c>
      <c r="O265" s="28" t="n"/>
      <c r="P265" s="32" t="n"/>
      <c r="Q265" s="31" t="n"/>
      <c r="R265" s="26">
        <f>IF(Q265="","",Q265-TODAY())</f>
        <v/>
      </c>
      <c r="S265" s="22">
        <f>IF(A265="","",SUMIFS(Payments!$C$2:$C$301,Payments!$B$2:$B$301,A265))</f>
        <v/>
      </c>
      <c r="T265" s="27">
        <f>IF(A265="","",SUMIFS(Beneficiaries!$E$2:$E$301,Beneficiaries!$A$2:$A$301,A265,Beneficiaries!$D$2:$D$301,"Primary"))</f>
        <v/>
      </c>
      <c r="U265" s="28" t="n"/>
      <c r="V265" s="28" t="n"/>
    </row>
    <row r="266">
      <c r="A266" s="28" t="n"/>
      <c r="B266" s="28" t="n"/>
      <c r="C266" s="28" t="n"/>
      <c r="D266" s="28" t="n"/>
      <c r="E266" s="28" t="n"/>
      <c r="F266" s="28" t="n"/>
      <c r="G266" s="29" t="n"/>
      <c r="H266" s="30" t="n"/>
      <c r="I266" s="28" t="n"/>
      <c r="J266" s="22">
        <f>IF(OR(H266="",I266=""),"",IF(I266="Single Pay",0,H266*IFERROR(INDEX(Lists!$D$2:$D$6,MATCH(I266,Lists!$C$2:$C$6,0)),0)))</f>
        <v/>
      </c>
      <c r="K266" s="31" t="n"/>
      <c r="L266" s="31" t="n"/>
      <c r="M266" s="32" t="n"/>
      <c r="N266" s="25">
        <f>IF(OR(L266="",M266=""),"",EDATE(L266,12*M266))</f>
        <v/>
      </c>
      <c r="O266" s="28" t="n"/>
      <c r="P266" s="32" t="n"/>
      <c r="Q266" s="31" t="n"/>
      <c r="R266" s="26">
        <f>IF(Q266="","",Q266-TODAY())</f>
        <v/>
      </c>
      <c r="S266" s="22">
        <f>IF(A266="","",SUMIFS(Payments!$C$2:$C$301,Payments!$B$2:$B$301,A266))</f>
        <v/>
      </c>
      <c r="T266" s="27">
        <f>IF(A266="","",SUMIFS(Beneficiaries!$E$2:$E$301,Beneficiaries!$A$2:$A$301,A266,Beneficiaries!$D$2:$D$301,"Primary"))</f>
        <v/>
      </c>
      <c r="U266" s="28" t="n"/>
      <c r="V266" s="28" t="n"/>
    </row>
    <row r="267">
      <c r="A267" s="28" t="n"/>
      <c r="B267" s="28" t="n"/>
      <c r="C267" s="28" t="n"/>
      <c r="D267" s="28" t="n"/>
      <c r="E267" s="28" t="n"/>
      <c r="F267" s="28" t="n"/>
      <c r="G267" s="29" t="n"/>
      <c r="H267" s="30" t="n"/>
      <c r="I267" s="28" t="n"/>
      <c r="J267" s="22">
        <f>IF(OR(H267="",I267=""),"",IF(I267="Single Pay",0,H267*IFERROR(INDEX(Lists!$D$2:$D$6,MATCH(I267,Lists!$C$2:$C$6,0)),0)))</f>
        <v/>
      </c>
      <c r="K267" s="31" t="n"/>
      <c r="L267" s="31" t="n"/>
      <c r="M267" s="32" t="n"/>
      <c r="N267" s="25">
        <f>IF(OR(L267="",M267=""),"",EDATE(L267,12*M267))</f>
        <v/>
      </c>
      <c r="O267" s="28" t="n"/>
      <c r="P267" s="32" t="n"/>
      <c r="Q267" s="31" t="n"/>
      <c r="R267" s="26">
        <f>IF(Q267="","",Q267-TODAY())</f>
        <v/>
      </c>
      <c r="S267" s="22">
        <f>IF(A267="","",SUMIFS(Payments!$C$2:$C$301,Payments!$B$2:$B$301,A267))</f>
        <v/>
      </c>
      <c r="T267" s="27">
        <f>IF(A267="","",SUMIFS(Beneficiaries!$E$2:$E$301,Beneficiaries!$A$2:$A$301,A267,Beneficiaries!$D$2:$D$301,"Primary"))</f>
        <v/>
      </c>
      <c r="U267" s="28" t="n"/>
      <c r="V267" s="28" t="n"/>
    </row>
    <row r="268">
      <c r="A268" s="28" t="n"/>
      <c r="B268" s="28" t="n"/>
      <c r="C268" s="28" t="n"/>
      <c r="D268" s="28" t="n"/>
      <c r="E268" s="28" t="n"/>
      <c r="F268" s="28" t="n"/>
      <c r="G268" s="29" t="n"/>
      <c r="H268" s="30" t="n"/>
      <c r="I268" s="28" t="n"/>
      <c r="J268" s="22">
        <f>IF(OR(H268="",I268=""),"",IF(I268="Single Pay",0,H268*IFERROR(INDEX(Lists!$D$2:$D$6,MATCH(I268,Lists!$C$2:$C$6,0)),0)))</f>
        <v/>
      </c>
      <c r="K268" s="31" t="n"/>
      <c r="L268" s="31" t="n"/>
      <c r="M268" s="32" t="n"/>
      <c r="N268" s="25">
        <f>IF(OR(L268="",M268=""),"",EDATE(L268,12*M268))</f>
        <v/>
      </c>
      <c r="O268" s="28" t="n"/>
      <c r="P268" s="32" t="n"/>
      <c r="Q268" s="31" t="n"/>
      <c r="R268" s="26">
        <f>IF(Q268="","",Q268-TODAY())</f>
        <v/>
      </c>
      <c r="S268" s="22">
        <f>IF(A268="","",SUMIFS(Payments!$C$2:$C$301,Payments!$B$2:$B$301,A268))</f>
        <v/>
      </c>
      <c r="T268" s="27">
        <f>IF(A268="","",SUMIFS(Beneficiaries!$E$2:$E$301,Beneficiaries!$A$2:$A$301,A268,Beneficiaries!$D$2:$D$301,"Primary"))</f>
        <v/>
      </c>
      <c r="U268" s="28" t="n"/>
      <c r="V268" s="28" t="n"/>
    </row>
    <row r="269">
      <c r="A269" s="28" t="n"/>
      <c r="B269" s="28" t="n"/>
      <c r="C269" s="28" t="n"/>
      <c r="D269" s="28" t="n"/>
      <c r="E269" s="28" t="n"/>
      <c r="F269" s="28" t="n"/>
      <c r="G269" s="29" t="n"/>
      <c r="H269" s="30" t="n"/>
      <c r="I269" s="28" t="n"/>
      <c r="J269" s="22">
        <f>IF(OR(H269="",I269=""),"",IF(I269="Single Pay",0,H269*IFERROR(INDEX(Lists!$D$2:$D$6,MATCH(I269,Lists!$C$2:$C$6,0)),0)))</f>
        <v/>
      </c>
      <c r="K269" s="31" t="n"/>
      <c r="L269" s="31" t="n"/>
      <c r="M269" s="32" t="n"/>
      <c r="N269" s="25">
        <f>IF(OR(L269="",M269=""),"",EDATE(L269,12*M269))</f>
        <v/>
      </c>
      <c r="O269" s="28" t="n"/>
      <c r="P269" s="32" t="n"/>
      <c r="Q269" s="31" t="n"/>
      <c r="R269" s="26">
        <f>IF(Q269="","",Q269-TODAY())</f>
        <v/>
      </c>
      <c r="S269" s="22">
        <f>IF(A269="","",SUMIFS(Payments!$C$2:$C$301,Payments!$B$2:$B$301,A269))</f>
        <v/>
      </c>
      <c r="T269" s="27">
        <f>IF(A269="","",SUMIFS(Beneficiaries!$E$2:$E$301,Beneficiaries!$A$2:$A$301,A269,Beneficiaries!$D$2:$D$301,"Primary"))</f>
        <v/>
      </c>
      <c r="U269" s="28" t="n"/>
      <c r="V269" s="28" t="n"/>
    </row>
    <row r="270">
      <c r="A270" s="28" t="n"/>
      <c r="B270" s="28" t="n"/>
      <c r="C270" s="28" t="n"/>
      <c r="D270" s="28" t="n"/>
      <c r="E270" s="28" t="n"/>
      <c r="F270" s="28" t="n"/>
      <c r="G270" s="29" t="n"/>
      <c r="H270" s="30" t="n"/>
      <c r="I270" s="28" t="n"/>
      <c r="J270" s="22">
        <f>IF(OR(H270="",I270=""),"",IF(I270="Single Pay",0,H270*IFERROR(INDEX(Lists!$D$2:$D$6,MATCH(I270,Lists!$C$2:$C$6,0)),0)))</f>
        <v/>
      </c>
      <c r="K270" s="31" t="n"/>
      <c r="L270" s="31" t="n"/>
      <c r="M270" s="32" t="n"/>
      <c r="N270" s="25">
        <f>IF(OR(L270="",M270=""),"",EDATE(L270,12*M270))</f>
        <v/>
      </c>
      <c r="O270" s="28" t="n"/>
      <c r="P270" s="32" t="n"/>
      <c r="Q270" s="31" t="n"/>
      <c r="R270" s="26">
        <f>IF(Q270="","",Q270-TODAY())</f>
        <v/>
      </c>
      <c r="S270" s="22">
        <f>IF(A270="","",SUMIFS(Payments!$C$2:$C$301,Payments!$B$2:$B$301,A270))</f>
        <v/>
      </c>
      <c r="T270" s="27">
        <f>IF(A270="","",SUMIFS(Beneficiaries!$E$2:$E$301,Beneficiaries!$A$2:$A$301,A270,Beneficiaries!$D$2:$D$301,"Primary"))</f>
        <v/>
      </c>
      <c r="U270" s="28" t="n"/>
      <c r="V270" s="28" t="n"/>
    </row>
    <row r="271">
      <c r="A271" s="28" t="n"/>
      <c r="B271" s="28" t="n"/>
      <c r="C271" s="28" t="n"/>
      <c r="D271" s="28" t="n"/>
      <c r="E271" s="28" t="n"/>
      <c r="F271" s="28" t="n"/>
      <c r="G271" s="29" t="n"/>
      <c r="H271" s="30" t="n"/>
      <c r="I271" s="28" t="n"/>
      <c r="J271" s="22">
        <f>IF(OR(H271="",I271=""),"",IF(I271="Single Pay",0,H271*IFERROR(INDEX(Lists!$D$2:$D$6,MATCH(I271,Lists!$C$2:$C$6,0)),0)))</f>
        <v/>
      </c>
      <c r="K271" s="31" t="n"/>
      <c r="L271" s="31" t="n"/>
      <c r="M271" s="32" t="n"/>
      <c r="N271" s="25">
        <f>IF(OR(L271="",M271=""),"",EDATE(L271,12*M271))</f>
        <v/>
      </c>
      <c r="O271" s="28" t="n"/>
      <c r="P271" s="32" t="n"/>
      <c r="Q271" s="31" t="n"/>
      <c r="R271" s="26">
        <f>IF(Q271="","",Q271-TODAY())</f>
        <v/>
      </c>
      <c r="S271" s="22">
        <f>IF(A271="","",SUMIFS(Payments!$C$2:$C$301,Payments!$B$2:$B$301,A271))</f>
        <v/>
      </c>
      <c r="T271" s="27">
        <f>IF(A271="","",SUMIFS(Beneficiaries!$E$2:$E$301,Beneficiaries!$A$2:$A$301,A271,Beneficiaries!$D$2:$D$301,"Primary"))</f>
        <v/>
      </c>
      <c r="U271" s="28" t="n"/>
      <c r="V271" s="28" t="n"/>
    </row>
    <row r="272">
      <c r="A272" s="28" t="n"/>
      <c r="B272" s="28" t="n"/>
      <c r="C272" s="28" t="n"/>
      <c r="D272" s="28" t="n"/>
      <c r="E272" s="28" t="n"/>
      <c r="F272" s="28" t="n"/>
      <c r="G272" s="29" t="n"/>
      <c r="H272" s="30" t="n"/>
      <c r="I272" s="28" t="n"/>
      <c r="J272" s="22">
        <f>IF(OR(H272="",I272=""),"",IF(I272="Single Pay",0,H272*IFERROR(INDEX(Lists!$D$2:$D$6,MATCH(I272,Lists!$C$2:$C$6,0)),0)))</f>
        <v/>
      </c>
      <c r="K272" s="31" t="n"/>
      <c r="L272" s="31" t="n"/>
      <c r="M272" s="32" t="n"/>
      <c r="N272" s="25">
        <f>IF(OR(L272="",M272=""),"",EDATE(L272,12*M272))</f>
        <v/>
      </c>
      <c r="O272" s="28" t="n"/>
      <c r="P272" s="32" t="n"/>
      <c r="Q272" s="31" t="n"/>
      <c r="R272" s="26">
        <f>IF(Q272="","",Q272-TODAY())</f>
        <v/>
      </c>
      <c r="S272" s="22">
        <f>IF(A272="","",SUMIFS(Payments!$C$2:$C$301,Payments!$B$2:$B$301,A272))</f>
        <v/>
      </c>
      <c r="T272" s="27">
        <f>IF(A272="","",SUMIFS(Beneficiaries!$E$2:$E$301,Beneficiaries!$A$2:$A$301,A272,Beneficiaries!$D$2:$D$301,"Primary"))</f>
        <v/>
      </c>
      <c r="U272" s="28" t="n"/>
      <c r="V272" s="28" t="n"/>
    </row>
    <row r="273">
      <c r="A273" s="28" t="n"/>
      <c r="B273" s="28" t="n"/>
      <c r="C273" s="28" t="n"/>
      <c r="D273" s="28" t="n"/>
      <c r="E273" s="28" t="n"/>
      <c r="F273" s="28" t="n"/>
      <c r="G273" s="29" t="n"/>
      <c r="H273" s="30" t="n"/>
      <c r="I273" s="28" t="n"/>
      <c r="J273" s="22">
        <f>IF(OR(H273="",I273=""),"",IF(I273="Single Pay",0,H273*IFERROR(INDEX(Lists!$D$2:$D$6,MATCH(I273,Lists!$C$2:$C$6,0)),0)))</f>
        <v/>
      </c>
      <c r="K273" s="31" t="n"/>
      <c r="L273" s="31" t="n"/>
      <c r="M273" s="32" t="n"/>
      <c r="N273" s="25">
        <f>IF(OR(L273="",M273=""),"",EDATE(L273,12*M273))</f>
        <v/>
      </c>
      <c r="O273" s="28" t="n"/>
      <c r="P273" s="32" t="n"/>
      <c r="Q273" s="31" t="n"/>
      <c r="R273" s="26">
        <f>IF(Q273="","",Q273-TODAY())</f>
        <v/>
      </c>
      <c r="S273" s="22">
        <f>IF(A273="","",SUMIFS(Payments!$C$2:$C$301,Payments!$B$2:$B$301,A273))</f>
        <v/>
      </c>
      <c r="T273" s="27">
        <f>IF(A273="","",SUMIFS(Beneficiaries!$E$2:$E$301,Beneficiaries!$A$2:$A$301,A273,Beneficiaries!$D$2:$D$301,"Primary"))</f>
        <v/>
      </c>
      <c r="U273" s="28" t="n"/>
      <c r="V273" s="28" t="n"/>
    </row>
    <row r="274">
      <c r="A274" s="28" t="n"/>
      <c r="B274" s="28" t="n"/>
      <c r="C274" s="28" t="n"/>
      <c r="D274" s="28" t="n"/>
      <c r="E274" s="28" t="n"/>
      <c r="F274" s="28" t="n"/>
      <c r="G274" s="29" t="n"/>
      <c r="H274" s="30" t="n"/>
      <c r="I274" s="28" t="n"/>
      <c r="J274" s="22">
        <f>IF(OR(H274="",I274=""),"",IF(I274="Single Pay",0,H274*IFERROR(INDEX(Lists!$D$2:$D$6,MATCH(I274,Lists!$C$2:$C$6,0)),0)))</f>
        <v/>
      </c>
      <c r="K274" s="31" t="n"/>
      <c r="L274" s="31" t="n"/>
      <c r="M274" s="32" t="n"/>
      <c r="N274" s="25">
        <f>IF(OR(L274="",M274=""),"",EDATE(L274,12*M274))</f>
        <v/>
      </c>
      <c r="O274" s="28" t="n"/>
      <c r="P274" s="32" t="n"/>
      <c r="Q274" s="31" t="n"/>
      <c r="R274" s="26">
        <f>IF(Q274="","",Q274-TODAY())</f>
        <v/>
      </c>
      <c r="S274" s="22">
        <f>IF(A274="","",SUMIFS(Payments!$C$2:$C$301,Payments!$B$2:$B$301,A274))</f>
        <v/>
      </c>
      <c r="T274" s="27">
        <f>IF(A274="","",SUMIFS(Beneficiaries!$E$2:$E$301,Beneficiaries!$A$2:$A$301,A274,Beneficiaries!$D$2:$D$301,"Primary"))</f>
        <v/>
      </c>
      <c r="U274" s="28" t="n"/>
      <c r="V274" s="28" t="n"/>
    </row>
    <row r="275">
      <c r="A275" s="28" t="n"/>
      <c r="B275" s="28" t="n"/>
      <c r="C275" s="28" t="n"/>
      <c r="D275" s="28" t="n"/>
      <c r="E275" s="28" t="n"/>
      <c r="F275" s="28" t="n"/>
      <c r="G275" s="29" t="n"/>
      <c r="H275" s="30" t="n"/>
      <c r="I275" s="28" t="n"/>
      <c r="J275" s="22">
        <f>IF(OR(H275="",I275=""),"",IF(I275="Single Pay",0,H275*IFERROR(INDEX(Lists!$D$2:$D$6,MATCH(I275,Lists!$C$2:$C$6,0)),0)))</f>
        <v/>
      </c>
      <c r="K275" s="31" t="n"/>
      <c r="L275" s="31" t="n"/>
      <c r="M275" s="32" t="n"/>
      <c r="N275" s="25">
        <f>IF(OR(L275="",M275=""),"",EDATE(L275,12*M275))</f>
        <v/>
      </c>
      <c r="O275" s="28" t="n"/>
      <c r="P275" s="32" t="n"/>
      <c r="Q275" s="31" t="n"/>
      <c r="R275" s="26">
        <f>IF(Q275="","",Q275-TODAY())</f>
        <v/>
      </c>
      <c r="S275" s="22">
        <f>IF(A275="","",SUMIFS(Payments!$C$2:$C$301,Payments!$B$2:$B$301,A275))</f>
        <v/>
      </c>
      <c r="T275" s="27">
        <f>IF(A275="","",SUMIFS(Beneficiaries!$E$2:$E$301,Beneficiaries!$A$2:$A$301,A275,Beneficiaries!$D$2:$D$301,"Primary"))</f>
        <v/>
      </c>
      <c r="U275" s="28" t="n"/>
      <c r="V275" s="28" t="n"/>
    </row>
    <row r="276">
      <c r="A276" s="28" t="n"/>
      <c r="B276" s="28" t="n"/>
      <c r="C276" s="28" t="n"/>
      <c r="D276" s="28" t="n"/>
      <c r="E276" s="28" t="n"/>
      <c r="F276" s="28" t="n"/>
      <c r="G276" s="29" t="n"/>
      <c r="H276" s="30" t="n"/>
      <c r="I276" s="28" t="n"/>
      <c r="J276" s="22">
        <f>IF(OR(H276="",I276=""),"",IF(I276="Single Pay",0,H276*IFERROR(INDEX(Lists!$D$2:$D$6,MATCH(I276,Lists!$C$2:$C$6,0)),0)))</f>
        <v/>
      </c>
      <c r="K276" s="31" t="n"/>
      <c r="L276" s="31" t="n"/>
      <c r="M276" s="32" t="n"/>
      <c r="N276" s="25">
        <f>IF(OR(L276="",M276=""),"",EDATE(L276,12*M276))</f>
        <v/>
      </c>
      <c r="O276" s="28" t="n"/>
      <c r="P276" s="32" t="n"/>
      <c r="Q276" s="31" t="n"/>
      <c r="R276" s="26">
        <f>IF(Q276="","",Q276-TODAY())</f>
        <v/>
      </c>
      <c r="S276" s="22">
        <f>IF(A276="","",SUMIFS(Payments!$C$2:$C$301,Payments!$B$2:$B$301,A276))</f>
        <v/>
      </c>
      <c r="T276" s="27">
        <f>IF(A276="","",SUMIFS(Beneficiaries!$E$2:$E$301,Beneficiaries!$A$2:$A$301,A276,Beneficiaries!$D$2:$D$301,"Primary"))</f>
        <v/>
      </c>
      <c r="U276" s="28" t="n"/>
      <c r="V276" s="28" t="n"/>
    </row>
    <row r="277">
      <c r="A277" s="28" t="n"/>
      <c r="B277" s="28" t="n"/>
      <c r="C277" s="28" t="n"/>
      <c r="D277" s="28" t="n"/>
      <c r="E277" s="28" t="n"/>
      <c r="F277" s="28" t="n"/>
      <c r="G277" s="29" t="n"/>
      <c r="H277" s="30" t="n"/>
      <c r="I277" s="28" t="n"/>
      <c r="J277" s="22">
        <f>IF(OR(H277="",I277=""),"",IF(I277="Single Pay",0,H277*IFERROR(INDEX(Lists!$D$2:$D$6,MATCH(I277,Lists!$C$2:$C$6,0)),0)))</f>
        <v/>
      </c>
      <c r="K277" s="31" t="n"/>
      <c r="L277" s="31" t="n"/>
      <c r="M277" s="32" t="n"/>
      <c r="N277" s="25">
        <f>IF(OR(L277="",M277=""),"",EDATE(L277,12*M277))</f>
        <v/>
      </c>
      <c r="O277" s="28" t="n"/>
      <c r="P277" s="32" t="n"/>
      <c r="Q277" s="31" t="n"/>
      <c r="R277" s="26">
        <f>IF(Q277="","",Q277-TODAY())</f>
        <v/>
      </c>
      <c r="S277" s="22">
        <f>IF(A277="","",SUMIFS(Payments!$C$2:$C$301,Payments!$B$2:$B$301,A277))</f>
        <v/>
      </c>
      <c r="T277" s="27">
        <f>IF(A277="","",SUMIFS(Beneficiaries!$E$2:$E$301,Beneficiaries!$A$2:$A$301,A277,Beneficiaries!$D$2:$D$301,"Primary"))</f>
        <v/>
      </c>
      <c r="U277" s="28" t="n"/>
      <c r="V277" s="28" t="n"/>
    </row>
    <row r="278">
      <c r="A278" s="28" t="n"/>
      <c r="B278" s="28" t="n"/>
      <c r="C278" s="28" t="n"/>
      <c r="D278" s="28" t="n"/>
      <c r="E278" s="28" t="n"/>
      <c r="F278" s="28" t="n"/>
      <c r="G278" s="29" t="n"/>
      <c r="H278" s="30" t="n"/>
      <c r="I278" s="28" t="n"/>
      <c r="J278" s="22">
        <f>IF(OR(H278="",I278=""),"",IF(I278="Single Pay",0,H278*IFERROR(INDEX(Lists!$D$2:$D$6,MATCH(I278,Lists!$C$2:$C$6,0)),0)))</f>
        <v/>
      </c>
      <c r="K278" s="31" t="n"/>
      <c r="L278" s="31" t="n"/>
      <c r="M278" s="32" t="n"/>
      <c r="N278" s="25">
        <f>IF(OR(L278="",M278=""),"",EDATE(L278,12*M278))</f>
        <v/>
      </c>
      <c r="O278" s="28" t="n"/>
      <c r="P278" s="32" t="n"/>
      <c r="Q278" s="31" t="n"/>
      <c r="R278" s="26">
        <f>IF(Q278="","",Q278-TODAY())</f>
        <v/>
      </c>
      <c r="S278" s="22">
        <f>IF(A278="","",SUMIFS(Payments!$C$2:$C$301,Payments!$B$2:$B$301,A278))</f>
        <v/>
      </c>
      <c r="T278" s="27">
        <f>IF(A278="","",SUMIFS(Beneficiaries!$E$2:$E$301,Beneficiaries!$A$2:$A$301,A278,Beneficiaries!$D$2:$D$301,"Primary"))</f>
        <v/>
      </c>
      <c r="U278" s="28" t="n"/>
      <c r="V278" s="28" t="n"/>
    </row>
    <row r="279">
      <c r="A279" s="28" t="n"/>
      <c r="B279" s="28" t="n"/>
      <c r="C279" s="28" t="n"/>
      <c r="D279" s="28" t="n"/>
      <c r="E279" s="28" t="n"/>
      <c r="F279" s="28" t="n"/>
      <c r="G279" s="29" t="n"/>
      <c r="H279" s="30" t="n"/>
      <c r="I279" s="28" t="n"/>
      <c r="J279" s="22">
        <f>IF(OR(H279="",I279=""),"",IF(I279="Single Pay",0,H279*IFERROR(INDEX(Lists!$D$2:$D$6,MATCH(I279,Lists!$C$2:$C$6,0)),0)))</f>
        <v/>
      </c>
      <c r="K279" s="31" t="n"/>
      <c r="L279" s="31" t="n"/>
      <c r="M279" s="32" t="n"/>
      <c r="N279" s="25">
        <f>IF(OR(L279="",M279=""),"",EDATE(L279,12*M279))</f>
        <v/>
      </c>
      <c r="O279" s="28" t="n"/>
      <c r="P279" s="32" t="n"/>
      <c r="Q279" s="31" t="n"/>
      <c r="R279" s="26">
        <f>IF(Q279="","",Q279-TODAY())</f>
        <v/>
      </c>
      <c r="S279" s="22">
        <f>IF(A279="","",SUMIFS(Payments!$C$2:$C$301,Payments!$B$2:$B$301,A279))</f>
        <v/>
      </c>
      <c r="T279" s="27">
        <f>IF(A279="","",SUMIFS(Beneficiaries!$E$2:$E$301,Beneficiaries!$A$2:$A$301,A279,Beneficiaries!$D$2:$D$301,"Primary"))</f>
        <v/>
      </c>
      <c r="U279" s="28" t="n"/>
      <c r="V279" s="28" t="n"/>
    </row>
    <row r="280">
      <c r="A280" s="28" t="n"/>
      <c r="B280" s="28" t="n"/>
      <c r="C280" s="28" t="n"/>
      <c r="D280" s="28" t="n"/>
      <c r="E280" s="28" t="n"/>
      <c r="F280" s="28" t="n"/>
      <c r="G280" s="29" t="n"/>
      <c r="H280" s="30" t="n"/>
      <c r="I280" s="28" t="n"/>
      <c r="J280" s="22">
        <f>IF(OR(H280="",I280=""),"",IF(I280="Single Pay",0,H280*IFERROR(INDEX(Lists!$D$2:$D$6,MATCH(I280,Lists!$C$2:$C$6,0)),0)))</f>
        <v/>
      </c>
      <c r="K280" s="31" t="n"/>
      <c r="L280" s="31" t="n"/>
      <c r="M280" s="32" t="n"/>
      <c r="N280" s="25">
        <f>IF(OR(L280="",M280=""),"",EDATE(L280,12*M280))</f>
        <v/>
      </c>
      <c r="O280" s="28" t="n"/>
      <c r="P280" s="32" t="n"/>
      <c r="Q280" s="31" t="n"/>
      <c r="R280" s="26">
        <f>IF(Q280="","",Q280-TODAY())</f>
        <v/>
      </c>
      <c r="S280" s="22">
        <f>IF(A280="","",SUMIFS(Payments!$C$2:$C$301,Payments!$B$2:$B$301,A280))</f>
        <v/>
      </c>
      <c r="T280" s="27">
        <f>IF(A280="","",SUMIFS(Beneficiaries!$E$2:$E$301,Beneficiaries!$A$2:$A$301,A280,Beneficiaries!$D$2:$D$301,"Primary"))</f>
        <v/>
      </c>
      <c r="U280" s="28" t="n"/>
      <c r="V280" s="28" t="n"/>
    </row>
    <row r="281">
      <c r="A281" s="28" t="n"/>
      <c r="B281" s="28" t="n"/>
      <c r="C281" s="28" t="n"/>
      <c r="D281" s="28" t="n"/>
      <c r="E281" s="28" t="n"/>
      <c r="F281" s="28" t="n"/>
      <c r="G281" s="29" t="n"/>
      <c r="H281" s="30" t="n"/>
      <c r="I281" s="28" t="n"/>
      <c r="J281" s="22">
        <f>IF(OR(H281="",I281=""),"",IF(I281="Single Pay",0,H281*IFERROR(INDEX(Lists!$D$2:$D$6,MATCH(I281,Lists!$C$2:$C$6,0)),0)))</f>
        <v/>
      </c>
      <c r="K281" s="31" t="n"/>
      <c r="L281" s="31" t="n"/>
      <c r="M281" s="32" t="n"/>
      <c r="N281" s="25">
        <f>IF(OR(L281="",M281=""),"",EDATE(L281,12*M281))</f>
        <v/>
      </c>
      <c r="O281" s="28" t="n"/>
      <c r="P281" s="32" t="n"/>
      <c r="Q281" s="31" t="n"/>
      <c r="R281" s="26">
        <f>IF(Q281="","",Q281-TODAY())</f>
        <v/>
      </c>
      <c r="S281" s="22">
        <f>IF(A281="","",SUMIFS(Payments!$C$2:$C$301,Payments!$B$2:$B$301,A281))</f>
        <v/>
      </c>
      <c r="T281" s="27">
        <f>IF(A281="","",SUMIFS(Beneficiaries!$E$2:$E$301,Beneficiaries!$A$2:$A$301,A281,Beneficiaries!$D$2:$D$301,"Primary"))</f>
        <v/>
      </c>
      <c r="U281" s="28" t="n"/>
      <c r="V281" s="28" t="n"/>
    </row>
    <row r="282">
      <c r="A282" s="28" t="n"/>
      <c r="B282" s="28" t="n"/>
      <c r="C282" s="28" t="n"/>
      <c r="D282" s="28" t="n"/>
      <c r="E282" s="28" t="n"/>
      <c r="F282" s="28" t="n"/>
      <c r="G282" s="29" t="n"/>
      <c r="H282" s="30" t="n"/>
      <c r="I282" s="28" t="n"/>
      <c r="J282" s="22">
        <f>IF(OR(H282="",I282=""),"",IF(I282="Single Pay",0,H282*IFERROR(INDEX(Lists!$D$2:$D$6,MATCH(I282,Lists!$C$2:$C$6,0)),0)))</f>
        <v/>
      </c>
      <c r="K282" s="31" t="n"/>
      <c r="L282" s="31" t="n"/>
      <c r="M282" s="32" t="n"/>
      <c r="N282" s="25">
        <f>IF(OR(L282="",M282=""),"",EDATE(L282,12*M282))</f>
        <v/>
      </c>
      <c r="O282" s="28" t="n"/>
      <c r="P282" s="32" t="n"/>
      <c r="Q282" s="31" t="n"/>
      <c r="R282" s="26">
        <f>IF(Q282="","",Q282-TODAY())</f>
        <v/>
      </c>
      <c r="S282" s="22">
        <f>IF(A282="","",SUMIFS(Payments!$C$2:$C$301,Payments!$B$2:$B$301,A282))</f>
        <v/>
      </c>
      <c r="T282" s="27">
        <f>IF(A282="","",SUMIFS(Beneficiaries!$E$2:$E$301,Beneficiaries!$A$2:$A$301,A282,Beneficiaries!$D$2:$D$301,"Primary"))</f>
        <v/>
      </c>
      <c r="U282" s="28" t="n"/>
      <c r="V282" s="28" t="n"/>
    </row>
    <row r="283">
      <c r="A283" s="28" t="n"/>
      <c r="B283" s="28" t="n"/>
      <c r="C283" s="28" t="n"/>
      <c r="D283" s="28" t="n"/>
      <c r="E283" s="28" t="n"/>
      <c r="F283" s="28" t="n"/>
      <c r="G283" s="29" t="n"/>
      <c r="H283" s="30" t="n"/>
      <c r="I283" s="28" t="n"/>
      <c r="J283" s="22">
        <f>IF(OR(H283="",I283=""),"",IF(I283="Single Pay",0,H283*IFERROR(INDEX(Lists!$D$2:$D$6,MATCH(I283,Lists!$C$2:$C$6,0)),0)))</f>
        <v/>
      </c>
      <c r="K283" s="31" t="n"/>
      <c r="L283" s="31" t="n"/>
      <c r="M283" s="32" t="n"/>
      <c r="N283" s="25">
        <f>IF(OR(L283="",M283=""),"",EDATE(L283,12*M283))</f>
        <v/>
      </c>
      <c r="O283" s="28" t="n"/>
      <c r="P283" s="32" t="n"/>
      <c r="Q283" s="31" t="n"/>
      <c r="R283" s="26">
        <f>IF(Q283="","",Q283-TODAY())</f>
        <v/>
      </c>
      <c r="S283" s="22">
        <f>IF(A283="","",SUMIFS(Payments!$C$2:$C$301,Payments!$B$2:$B$301,A283))</f>
        <v/>
      </c>
      <c r="T283" s="27">
        <f>IF(A283="","",SUMIFS(Beneficiaries!$E$2:$E$301,Beneficiaries!$A$2:$A$301,A283,Beneficiaries!$D$2:$D$301,"Primary"))</f>
        <v/>
      </c>
      <c r="U283" s="28" t="n"/>
      <c r="V283" s="28" t="n"/>
    </row>
    <row r="284">
      <c r="A284" s="28" t="n"/>
      <c r="B284" s="28" t="n"/>
      <c r="C284" s="28" t="n"/>
      <c r="D284" s="28" t="n"/>
      <c r="E284" s="28" t="n"/>
      <c r="F284" s="28" t="n"/>
      <c r="G284" s="29" t="n"/>
      <c r="H284" s="30" t="n"/>
      <c r="I284" s="28" t="n"/>
      <c r="J284" s="22">
        <f>IF(OR(H284="",I284=""),"",IF(I284="Single Pay",0,H284*IFERROR(INDEX(Lists!$D$2:$D$6,MATCH(I284,Lists!$C$2:$C$6,0)),0)))</f>
        <v/>
      </c>
      <c r="K284" s="31" t="n"/>
      <c r="L284" s="31" t="n"/>
      <c r="M284" s="32" t="n"/>
      <c r="N284" s="25">
        <f>IF(OR(L284="",M284=""),"",EDATE(L284,12*M284))</f>
        <v/>
      </c>
      <c r="O284" s="28" t="n"/>
      <c r="P284" s="32" t="n"/>
      <c r="Q284" s="31" t="n"/>
      <c r="R284" s="26">
        <f>IF(Q284="","",Q284-TODAY())</f>
        <v/>
      </c>
      <c r="S284" s="22">
        <f>IF(A284="","",SUMIFS(Payments!$C$2:$C$301,Payments!$B$2:$B$301,A284))</f>
        <v/>
      </c>
      <c r="T284" s="27">
        <f>IF(A284="","",SUMIFS(Beneficiaries!$E$2:$E$301,Beneficiaries!$A$2:$A$301,A284,Beneficiaries!$D$2:$D$301,"Primary"))</f>
        <v/>
      </c>
      <c r="U284" s="28" t="n"/>
      <c r="V284" s="28" t="n"/>
    </row>
    <row r="285">
      <c r="A285" s="28" t="n"/>
      <c r="B285" s="28" t="n"/>
      <c r="C285" s="28" t="n"/>
      <c r="D285" s="28" t="n"/>
      <c r="E285" s="28" t="n"/>
      <c r="F285" s="28" t="n"/>
      <c r="G285" s="29" t="n"/>
      <c r="H285" s="30" t="n"/>
      <c r="I285" s="28" t="n"/>
      <c r="J285" s="22">
        <f>IF(OR(H285="",I285=""),"",IF(I285="Single Pay",0,H285*IFERROR(INDEX(Lists!$D$2:$D$6,MATCH(I285,Lists!$C$2:$C$6,0)),0)))</f>
        <v/>
      </c>
      <c r="K285" s="31" t="n"/>
      <c r="L285" s="31" t="n"/>
      <c r="M285" s="32" t="n"/>
      <c r="N285" s="25">
        <f>IF(OR(L285="",M285=""),"",EDATE(L285,12*M285))</f>
        <v/>
      </c>
      <c r="O285" s="28" t="n"/>
      <c r="P285" s="32" t="n"/>
      <c r="Q285" s="31" t="n"/>
      <c r="R285" s="26">
        <f>IF(Q285="","",Q285-TODAY())</f>
        <v/>
      </c>
      <c r="S285" s="22">
        <f>IF(A285="","",SUMIFS(Payments!$C$2:$C$301,Payments!$B$2:$B$301,A285))</f>
        <v/>
      </c>
      <c r="T285" s="27">
        <f>IF(A285="","",SUMIFS(Beneficiaries!$E$2:$E$301,Beneficiaries!$A$2:$A$301,A285,Beneficiaries!$D$2:$D$301,"Primary"))</f>
        <v/>
      </c>
      <c r="U285" s="28" t="n"/>
      <c r="V285" s="28" t="n"/>
    </row>
    <row r="286">
      <c r="A286" s="28" t="n"/>
      <c r="B286" s="28" t="n"/>
      <c r="C286" s="28" t="n"/>
      <c r="D286" s="28" t="n"/>
      <c r="E286" s="28" t="n"/>
      <c r="F286" s="28" t="n"/>
      <c r="G286" s="29" t="n"/>
      <c r="H286" s="30" t="n"/>
      <c r="I286" s="28" t="n"/>
      <c r="J286" s="22">
        <f>IF(OR(H286="",I286=""),"",IF(I286="Single Pay",0,H286*IFERROR(INDEX(Lists!$D$2:$D$6,MATCH(I286,Lists!$C$2:$C$6,0)),0)))</f>
        <v/>
      </c>
      <c r="K286" s="31" t="n"/>
      <c r="L286" s="31" t="n"/>
      <c r="M286" s="32" t="n"/>
      <c r="N286" s="25">
        <f>IF(OR(L286="",M286=""),"",EDATE(L286,12*M286))</f>
        <v/>
      </c>
      <c r="O286" s="28" t="n"/>
      <c r="P286" s="32" t="n"/>
      <c r="Q286" s="31" t="n"/>
      <c r="R286" s="26">
        <f>IF(Q286="","",Q286-TODAY())</f>
        <v/>
      </c>
      <c r="S286" s="22">
        <f>IF(A286="","",SUMIFS(Payments!$C$2:$C$301,Payments!$B$2:$B$301,A286))</f>
        <v/>
      </c>
      <c r="T286" s="27">
        <f>IF(A286="","",SUMIFS(Beneficiaries!$E$2:$E$301,Beneficiaries!$A$2:$A$301,A286,Beneficiaries!$D$2:$D$301,"Primary"))</f>
        <v/>
      </c>
      <c r="U286" s="28" t="n"/>
      <c r="V286" s="28" t="n"/>
    </row>
    <row r="287">
      <c r="A287" s="28" t="n"/>
      <c r="B287" s="28" t="n"/>
      <c r="C287" s="28" t="n"/>
      <c r="D287" s="28" t="n"/>
      <c r="E287" s="28" t="n"/>
      <c r="F287" s="28" t="n"/>
      <c r="G287" s="29" t="n"/>
      <c r="H287" s="30" t="n"/>
      <c r="I287" s="28" t="n"/>
      <c r="J287" s="22">
        <f>IF(OR(H287="",I287=""),"",IF(I287="Single Pay",0,H287*IFERROR(INDEX(Lists!$D$2:$D$6,MATCH(I287,Lists!$C$2:$C$6,0)),0)))</f>
        <v/>
      </c>
      <c r="K287" s="31" t="n"/>
      <c r="L287" s="31" t="n"/>
      <c r="M287" s="32" t="n"/>
      <c r="N287" s="25">
        <f>IF(OR(L287="",M287=""),"",EDATE(L287,12*M287))</f>
        <v/>
      </c>
      <c r="O287" s="28" t="n"/>
      <c r="P287" s="32" t="n"/>
      <c r="Q287" s="31" t="n"/>
      <c r="R287" s="26">
        <f>IF(Q287="","",Q287-TODAY())</f>
        <v/>
      </c>
      <c r="S287" s="22">
        <f>IF(A287="","",SUMIFS(Payments!$C$2:$C$301,Payments!$B$2:$B$301,A287))</f>
        <v/>
      </c>
      <c r="T287" s="27">
        <f>IF(A287="","",SUMIFS(Beneficiaries!$E$2:$E$301,Beneficiaries!$A$2:$A$301,A287,Beneficiaries!$D$2:$D$301,"Primary"))</f>
        <v/>
      </c>
      <c r="U287" s="28" t="n"/>
      <c r="V287" s="28" t="n"/>
    </row>
    <row r="288">
      <c r="A288" s="28" t="n"/>
      <c r="B288" s="28" t="n"/>
      <c r="C288" s="28" t="n"/>
      <c r="D288" s="28" t="n"/>
      <c r="E288" s="28" t="n"/>
      <c r="F288" s="28" t="n"/>
      <c r="G288" s="29" t="n"/>
      <c r="H288" s="30" t="n"/>
      <c r="I288" s="28" t="n"/>
      <c r="J288" s="22">
        <f>IF(OR(H288="",I288=""),"",IF(I288="Single Pay",0,H288*IFERROR(INDEX(Lists!$D$2:$D$6,MATCH(I288,Lists!$C$2:$C$6,0)),0)))</f>
        <v/>
      </c>
      <c r="K288" s="31" t="n"/>
      <c r="L288" s="31" t="n"/>
      <c r="M288" s="32" t="n"/>
      <c r="N288" s="25">
        <f>IF(OR(L288="",M288=""),"",EDATE(L288,12*M288))</f>
        <v/>
      </c>
      <c r="O288" s="28" t="n"/>
      <c r="P288" s="32" t="n"/>
      <c r="Q288" s="31" t="n"/>
      <c r="R288" s="26">
        <f>IF(Q288="","",Q288-TODAY())</f>
        <v/>
      </c>
      <c r="S288" s="22">
        <f>IF(A288="","",SUMIFS(Payments!$C$2:$C$301,Payments!$B$2:$B$301,A288))</f>
        <v/>
      </c>
      <c r="T288" s="27">
        <f>IF(A288="","",SUMIFS(Beneficiaries!$E$2:$E$301,Beneficiaries!$A$2:$A$301,A288,Beneficiaries!$D$2:$D$301,"Primary"))</f>
        <v/>
      </c>
      <c r="U288" s="28" t="n"/>
      <c r="V288" s="28" t="n"/>
    </row>
    <row r="289">
      <c r="A289" s="28" t="n"/>
      <c r="B289" s="28" t="n"/>
      <c r="C289" s="28" t="n"/>
      <c r="D289" s="28" t="n"/>
      <c r="E289" s="28" t="n"/>
      <c r="F289" s="28" t="n"/>
      <c r="G289" s="29" t="n"/>
      <c r="H289" s="30" t="n"/>
      <c r="I289" s="28" t="n"/>
      <c r="J289" s="22">
        <f>IF(OR(H289="",I289=""),"",IF(I289="Single Pay",0,H289*IFERROR(INDEX(Lists!$D$2:$D$6,MATCH(I289,Lists!$C$2:$C$6,0)),0)))</f>
        <v/>
      </c>
      <c r="K289" s="31" t="n"/>
      <c r="L289" s="31" t="n"/>
      <c r="M289" s="32" t="n"/>
      <c r="N289" s="25">
        <f>IF(OR(L289="",M289=""),"",EDATE(L289,12*M289))</f>
        <v/>
      </c>
      <c r="O289" s="28" t="n"/>
      <c r="P289" s="32" t="n"/>
      <c r="Q289" s="31" t="n"/>
      <c r="R289" s="26">
        <f>IF(Q289="","",Q289-TODAY())</f>
        <v/>
      </c>
      <c r="S289" s="22">
        <f>IF(A289="","",SUMIFS(Payments!$C$2:$C$301,Payments!$B$2:$B$301,A289))</f>
        <v/>
      </c>
      <c r="T289" s="27">
        <f>IF(A289="","",SUMIFS(Beneficiaries!$E$2:$E$301,Beneficiaries!$A$2:$A$301,A289,Beneficiaries!$D$2:$D$301,"Primary"))</f>
        <v/>
      </c>
      <c r="U289" s="28" t="n"/>
      <c r="V289" s="28" t="n"/>
    </row>
    <row r="290">
      <c r="A290" s="28" t="n"/>
      <c r="B290" s="28" t="n"/>
      <c r="C290" s="28" t="n"/>
      <c r="D290" s="28" t="n"/>
      <c r="E290" s="28" t="n"/>
      <c r="F290" s="28" t="n"/>
      <c r="G290" s="29" t="n"/>
      <c r="H290" s="30" t="n"/>
      <c r="I290" s="28" t="n"/>
      <c r="J290" s="22">
        <f>IF(OR(H290="",I290=""),"",IF(I290="Single Pay",0,H290*IFERROR(INDEX(Lists!$D$2:$D$6,MATCH(I290,Lists!$C$2:$C$6,0)),0)))</f>
        <v/>
      </c>
      <c r="K290" s="31" t="n"/>
      <c r="L290" s="31" t="n"/>
      <c r="M290" s="32" t="n"/>
      <c r="N290" s="25">
        <f>IF(OR(L290="",M290=""),"",EDATE(L290,12*M290))</f>
        <v/>
      </c>
      <c r="O290" s="28" t="n"/>
      <c r="P290" s="32" t="n"/>
      <c r="Q290" s="31" t="n"/>
      <c r="R290" s="26">
        <f>IF(Q290="","",Q290-TODAY())</f>
        <v/>
      </c>
      <c r="S290" s="22">
        <f>IF(A290="","",SUMIFS(Payments!$C$2:$C$301,Payments!$B$2:$B$301,A290))</f>
        <v/>
      </c>
      <c r="T290" s="27">
        <f>IF(A290="","",SUMIFS(Beneficiaries!$E$2:$E$301,Beneficiaries!$A$2:$A$301,A290,Beneficiaries!$D$2:$D$301,"Primary"))</f>
        <v/>
      </c>
      <c r="U290" s="28" t="n"/>
      <c r="V290" s="28" t="n"/>
    </row>
    <row r="291">
      <c r="A291" s="28" t="n"/>
      <c r="B291" s="28" t="n"/>
      <c r="C291" s="28" t="n"/>
      <c r="D291" s="28" t="n"/>
      <c r="E291" s="28" t="n"/>
      <c r="F291" s="28" t="n"/>
      <c r="G291" s="29" t="n"/>
      <c r="H291" s="30" t="n"/>
      <c r="I291" s="28" t="n"/>
      <c r="J291" s="22">
        <f>IF(OR(H291="",I291=""),"",IF(I291="Single Pay",0,H291*IFERROR(INDEX(Lists!$D$2:$D$6,MATCH(I291,Lists!$C$2:$C$6,0)),0)))</f>
        <v/>
      </c>
      <c r="K291" s="31" t="n"/>
      <c r="L291" s="31" t="n"/>
      <c r="M291" s="32" t="n"/>
      <c r="N291" s="25">
        <f>IF(OR(L291="",M291=""),"",EDATE(L291,12*M291))</f>
        <v/>
      </c>
      <c r="O291" s="28" t="n"/>
      <c r="P291" s="32" t="n"/>
      <c r="Q291" s="31" t="n"/>
      <c r="R291" s="26">
        <f>IF(Q291="","",Q291-TODAY())</f>
        <v/>
      </c>
      <c r="S291" s="22">
        <f>IF(A291="","",SUMIFS(Payments!$C$2:$C$301,Payments!$B$2:$B$301,A291))</f>
        <v/>
      </c>
      <c r="T291" s="27">
        <f>IF(A291="","",SUMIFS(Beneficiaries!$E$2:$E$301,Beneficiaries!$A$2:$A$301,A291,Beneficiaries!$D$2:$D$301,"Primary"))</f>
        <v/>
      </c>
      <c r="U291" s="28" t="n"/>
      <c r="V291" s="28" t="n"/>
    </row>
    <row r="292">
      <c r="A292" s="28" t="n"/>
      <c r="B292" s="28" t="n"/>
      <c r="C292" s="28" t="n"/>
      <c r="D292" s="28" t="n"/>
      <c r="E292" s="28" t="n"/>
      <c r="F292" s="28" t="n"/>
      <c r="G292" s="29" t="n"/>
      <c r="H292" s="30" t="n"/>
      <c r="I292" s="28" t="n"/>
      <c r="J292" s="22">
        <f>IF(OR(H292="",I292=""),"",IF(I292="Single Pay",0,H292*IFERROR(INDEX(Lists!$D$2:$D$6,MATCH(I292,Lists!$C$2:$C$6,0)),0)))</f>
        <v/>
      </c>
      <c r="K292" s="31" t="n"/>
      <c r="L292" s="31" t="n"/>
      <c r="M292" s="32" t="n"/>
      <c r="N292" s="25">
        <f>IF(OR(L292="",M292=""),"",EDATE(L292,12*M292))</f>
        <v/>
      </c>
      <c r="O292" s="28" t="n"/>
      <c r="P292" s="32" t="n"/>
      <c r="Q292" s="31" t="n"/>
      <c r="R292" s="26">
        <f>IF(Q292="","",Q292-TODAY())</f>
        <v/>
      </c>
      <c r="S292" s="22">
        <f>IF(A292="","",SUMIFS(Payments!$C$2:$C$301,Payments!$B$2:$B$301,A292))</f>
        <v/>
      </c>
      <c r="T292" s="27">
        <f>IF(A292="","",SUMIFS(Beneficiaries!$E$2:$E$301,Beneficiaries!$A$2:$A$301,A292,Beneficiaries!$D$2:$D$301,"Primary"))</f>
        <v/>
      </c>
      <c r="U292" s="28" t="n"/>
      <c r="V292" s="28" t="n"/>
    </row>
    <row r="293">
      <c r="A293" s="28" t="n"/>
      <c r="B293" s="28" t="n"/>
      <c r="C293" s="28" t="n"/>
      <c r="D293" s="28" t="n"/>
      <c r="E293" s="28" t="n"/>
      <c r="F293" s="28" t="n"/>
      <c r="G293" s="29" t="n"/>
      <c r="H293" s="30" t="n"/>
      <c r="I293" s="28" t="n"/>
      <c r="J293" s="22">
        <f>IF(OR(H293="",I293=""),"",IF(I293="Single Pay",0,H293*IFERROR(INDEX(Lists!$D$2:$D$6,MATCH(I293,Lists!$C$2:$C$6,0)),0)))</f>
        <v/>
      </c>
      <c r="K293" s="31" t="n"/>
      <c r="L293" s="31" t="n"/>
      <c r="M293" s="32" t="n"/>
      <c r="N293" s="25">
        <f>IF(OR(L293="",M293=""),"",EDATE(L293,12*M293))</f>
        <v/>
      </c>
      <c r="O293" s="28" t="n"/>
      <c r="P293" s="32" t="n"/>
      <c r="Q293" s="31" t="n"/>
      <c r="R293" s="26">
        <f>IF(Q293="","",Q293-TODAY())</f>
        <v/>
      </c>
      <c r="S293" s="22">
        <f>IF(A293="","",SUMIFS(Payments!$C$2:$C$301,Payments!$B$2:$B$301,A293))</f>
        <v/>
      </c>
      <c r="T293" s="27">
        <f>IF(A293="","",SUMIFS(Beneficiaries!$E$2:$E$301,Beneficiaries!$A$2:$A$301,A293,Beneficiaries!$D$2:$D$301,"Primary"))</f>
        <v/>
      </c>
      <c r="U293" s="28" t="n"/>
      <c r="V293" s="28" t="n"/>
    </row>
    <row r="294">
      <c r="A294" s="28" t="n"/>
      <c r="B294" s="28" t="n"/>
      <c r="C294" s="28" t="n"/>
      <c r="D294" s="28" t="n"/>
      <c r="E294" s="28" t="n"/>
      <c r="F294" s="28" t="n"/>
      <c r="G294" s="29" t="n"/>
      <c r="H294" s="30" t="n"/>
      <c r="I294" s="28" t="n"/>
      <c r="J294" s="22">
        <f>IF(OR(H294="",I294=""),"",IF(I294="Single Pay",0,H294*IFERROR(INDEX(Lists!$D$2:$D$6,MATCH(I294,Lists!$C$2:$C$6,0)),0)))</f>
        <v/>
      </c>
      <c r="K294" s="31" t="n"/>
      <c r="L294" s="31" t="n"/>
      <c r="M294" s="32" t="n"/>
      <c r="N294" s="25">
        <f>IF(OR(L294="",M294=""),"",EDATE(L294,12*M294))</f>
        <v/>
      </c>
      <c r="O294" s="28" t="n"/>
      <c r="P294" s="32" t="n"/>
      <c r="Q294" s="31" t="n"/>
      <c r="R294" s="26">
        <f>IF(Q294="","",Q294-TODAY())</f>
        <v/>
      </c>
      <c r="S294" s="22">
        <f>IF(A294="","",SUMIFS(Payments!$C$2:$C$301,Payments!$B$2:$B$301,A294))</f>
        <v/>
      </c>
      <c r="T294" s="27">
        <f>IF(A294="","",SUMIFS(Beneficiaries!$E$2:$E$301,Beneficiaries!$A$2:$A$301,A294,Beneficiaries!$D$2:$D$301,"Primary"))</f>
        <v/>
      </c>
      <c r="U294" s="28" t="n"/>
      <c r="V294" s="28" t="n"/>
    </row>
    <row r="295">
      <c r="A295" s="28" t="n"/>
      <c r="B295" s="28" t="n"/>
      <c r="C295" s="28" t="n"/>
      <c r="D295" s="28" t="n"/>
      <c r="E295" s="28" t="n"/>
      <c r="F295" s="28" t="n"/>
      <c r="G295" s="29" t="n"/>
      <c r="H295" s="30" t="n"/>
      <c r="I295" s="28" t="n"/>
      <c r="J295" s="22">
        <f>IF(OR(H295="",I295=""),"",IF(I295="Single Pay",0,H295*IFERROR(INDEX(Lists!$D$2:$D$6,MATCH(I295,Lists!$C$2:$C$6,0)),0)))</f>
        <v/>
      </c>
      <c r="K295" s="31" t="n"/>
      <c r="L295" s="31" t="n"/>
      <c r="M295" s="32" t="n"/>
      <c r="N295" s="25">
        <f>IF(OR(L295="",M295=""),"",EDATE(L295,12*M295))</f>
        <v/>
      </c>
      <c r="O295" s="28" t="n"/>
      <c r="P295" s="32" t="n"/>
      <c r="Q295" s="31" t="n"/>
      <c r="R295" s="26">
        <f>IF(Q295="","",Q295-TODAY())</f>
        <v/>
      </c>
      <c r="S295" s="22">
        <f>IF(A295="","",SUMIFS(Payments!$C$2:$C$301,Payments!$B$2:$B$301,A295))</f>
        <v/>
      </c>
      <c r="T295" s="27">
        <f>IF(A295="","",SUMIFS(Beneficiaries!$E$2:$E$301,Beneficiaries!$A$2:$A$301,A295,Beneficiaries!$D$2:$D$301,"Primary"))</f>
        <v/>
      </c>
      <c r="U295" s="28" t="n"/>
      <c r="V295" s="28" t="n"/>
    </row>
    <row r="296">
      <c r="A296" s="28" t="n"/>
      <c r="B296" s="28" t="n"/>
      <c r="C296" s="28" t="n"/>
      <c r="D296" s="28" t="n"/>
      <c r="E296" s="28" t="n"/>
      <c r="F296" s="28" t="n"/>
      <c r="G296" s="29" t="n"/>
      <c r="H296" s="30" t="n"/>
      <c r="I296" s="28" t="n"/>
      <c r="J296" s="22">
        <f>IF(OR(H296="",I296=""),"",IF(I296="Single Pay",0,H296*IFERROR(INDEX(Lists!$D$2:$D$6,MATCH(I296,Lists!$C$2:$C$6,0)),0)))</f>
        <v/>
      </c>
      <c r="K296" s="31" t="n"/>
      <c r="L296" s="31" t="n"/>
      <c r="M296" s="32" t="n"/>
      <c r="N296" s="25">
        <f>IF(OR(L296="",M296=""),"",EDATE(L296,12*M296))</f>
        <v/>
      </c>
      <c r="O296" s="28" t="n"/>
      <c r="P296" s="32" t="n"/>
      <c r="Q296" s="31" t="n"/>
      <c r="R296" s="26">
        <f>IF(Q296="","",Q296-TODAY())</f>
        <v/>
      </c>
      <c r="S296" s="22">
        <f>IF(A296="","",SUMIFS(Payments!$C$2:$C$301,Payments!$B$2:$B$301,A296))</f>
        <v/>
      </c>
      <c r="T296" s="27">
        <f>IF(A296="","",SUMIFS(Beneficiaries!$E$2:$E$301,Beneficiaries!$A$2:$A$301,A296,Beneficiaries!$D$2:$D$301,"Primary"))</f>
        <v/>
      </c>
      <c r="U296" s="28" t="n"/>
      <c r="V296" s="28" t="n"/>
    </row>
    <row r="297">
      <c r="A297" s="28" t="n"/>
      <c r="B297" s="28" t="n"/>
      <c r="C297" s="28" t="n"/>
      <c r="D297" s="28" t="n"/>
      <c r="E297" s="28" t="n"/>
      <c r="F297" s="28" t="n"/>
      <c r="G297" s="29" t="n"/>
      <c r="H297" s="30" t="n"/>
      <c r="I297" s="28" t="n"/>
      <c r="J297" s="22">
        <f>IF(OR(H297="",I297=""),"",IF(I297="Single Pay",0,H297*IFERROR(INDEX(Lists!$D$2:$D$6,MATCH(I297,Lists!$C$2:$C$6,0)),0)))</f>
        <v/>
      </c>
      <c r="K297" s="31" t="n"/>
      <c r="L297" s="31" t="n"/>
      <c r="M297" s="32" t="n"/>
      <c r="N297" s="25">
        <f>IF(OR(L297="",M297=""),"",EDATE(L297,12*M297))</f>
        <v/>
      </c>
      <c r="O297" s="28" t="n"/>
      <c r="P297" s="32" t="n"/>
      <c r="Q297" s="31" t="n"/>
      <c r="R297" s="26">
        <f>IF(Q297="","",Q297-TODAY())</f>
        <v/>
      </c>
      <c r="S297" s="22">
        <f>IF(A297="","",SUMIFS(Payments!$C$2:$C$301,Payments!$B$2:$B$301,A297))</f>
        <v/>
      </c>
      <c r="T297" s="27">
        <f>IF(A297="","",SUMIFS(Beneficiaries!$E$2:$E$301,Beneficiaries!$A$2:$A$301,A297,Beneficiaries!$D$2:$D$301,"Primary"))</f>
        <v/>
      </c>
      <c r="U297" s="28" t="n"/>
      <c r="V297" s="28" t="n"/>
    </row>
    <row r="298">
      <c r="A298" s="28" t="n"/>
      <c r="B298" s="28" t="n"/>
      <c r="C298" s="28" t="n"/>
      <c r="D298" s="28" t="n"/>
      <c r="E298" s="28" t="n"/>
      <c r="F298" s="28" t="n"/>
      <c r="G298" s="29" t="n"/>
      <c r="H298" s="30" t="n"/>
      <c r="I298" s="28" t="n"/>
      <c r="J298" s="22">
        <f>IF(OR(H298="",I298=""),"",IF(I298="Single Pay",0,H298*IFERROR(INDEX(Lists!$D$2:$D$6,MATCH(I298,Lists!$C$2:$C$6,0)),0)))</f>
        <v/>
      </c>
      <c r="K298" s="31" t="n"/>
      <c r="L298" s="31" t="n"/>
      <c r="M298" s="32" t="n"/>
      <c r="N298" s="25">
        <f>IF(OR(L298="",M298=""),"",EDATE(L298,12*M298))</f>
        <v/>
      </c>
      <c r="O298" s="28" t="n"/>
      <c r="P298" s="32" t="n"/>
      <c r="Q298" s="31" t="n"/>
      <c r="R298" s="26">
        <f>IF(Q298="","",Q298-TODAY())</f>
        <v/>
      </c>
      <c r="S298" s="22">
        <f>IF(A298="","",SUMIFS(Payments!$C$2:$C$301,Payments!$B$2:$B$301,A298))</f>
        <v/>
      </c>
      <c r="T298" s="27">
        <f>IF(A298="","",SUMIFS(Beneficiaries!$E$2:$E$301,Beneficiaries!$A$2:$A$301,A298,Beneficiaries!$D$2:$D$301,"Primary"))</f>
        <v/>
      </c>
      <c r="U298" s="28" t="n"/>
      <c r="V298" s="28" t="n"/>
    </row>
    <row r="299">
      <c r="A299" s="28" t="n"/>
      <c r="B299" s="28" t="n"/>
      <c r="C299" s="28" t="n"/>
      <c r="D299" s="28" t="n"/>
      <c r="E299" s="28" t="n"/>
      <c r="F299" s="28" t="n"/>
      <c r="G299" s="29" t="n"/>
      <c r="H299" s="30" t="n"/>
      <c r="I299" s="28" t="n"/>
      <c r="J299" s="22">
        <f>IF(OR(H299="",I299=""),"",IF(I299="Single Pay",0,H299*IFERROR(INDEX(Lists!$D$2:$D$6,MATCH(I299,Lists!$C$2:$C$6,0)),0)))</f>
        <v/>
      </c>
      <c r="K299" s="31" t="n"/>
      <c r="L299" s="31" t="n"/>
      <c r="M299" s="32" t="n"/>
      <c r="N299" s="25">
        <f>IF(OR(L299="",M299=""),"",EDATE(L299,12*M299))</f>
        <v/>
      </c>
      <c r="O299" s="28" t="n"/>
      <c r="P299" s="32" t="n"/>
      <c r="Q299" s="31" t="n"/>
      <c r="R299" s="26">
        <f>IF(Q299="","",Q299-TODAY())</f>
        <v/>
      </c>
      <c r="S299" s="22">
        <f>IF(A299="","",SUMIFS(Payments!$C$2:$C$301,Payments!$B$2:$B$301,A299))</f>
        <v/>
      </c>
      <c r="T299" s="27">
        <f>IF(A299="","",SUMIFS(Beneficiaries!$E$2:$E$301,Beneficiaries!$A$2:$A$301,A299,Beneficiaries!$D$2:$D$301,"Primary"))</f>
        <v/>
      </c>
      <c r="U299" s="28" t="n"/>
      <c r="V299" s="28" t="n"/>
    </row>
    <row r="300">
      <c r="A300" s="28" t="n"/>
      <c r="B300" s="28" t="n"/>
      <c r="C300" s="28" t="n"/>
      <c r="D300" s="28" t="n"/>
      <c r="E300" s="28" t="n"/>
      <c r="F300" s="28" t="n"/>
      <c r="G300" s="29" t="n"/>
      <c r="H300" s="30" t="n"/>
      <c r="I300" s="28" t="n"/>
      <c r="J300" s="22">
        <f>IF(OR(H300="",I300=""),"",IF(I300="Single Pay",0,H300*IFERROR(INDEX(Lists!$D$2:$D$6,MATCH(I300,Lists!$C$2:$C$6,0)),0)))</f>
        <v/>
      </c>
      <c r="K300" s="31" t="n"/>
      <c r="L300" s="31" t="n"/>
      <c r="M300" s="32" t="n"/>
      <c r="N300" s="25">
        <f>IF(OR(L300="",M300=""),"",EDATE(L300,12*M300))</f>
        <v/>
      </c>
      <c r="O300" s="28" t="n"/>
      <c r="P300" s="32" t="n"/>
      <c r="Q300" s="31" t="n"/>
      <c r="R300" s="26">
        <f>IF(Q300="","",Q300-TODAY())</f>
        <v/>
      </c>
      <c r="S300" s="22">
        <f>IF(A300="","",SUMIFS(Payments!$C$2:$C$301,Payments!$B$2:$B$301,A300))</f>
        <v/>
      </c>
      <c r="T300" s="27">
        <f>IF(A300="","",SUMIFS(Beneficiaries!$E$2:$E$301,Beneficiaries!$A$2:$A$301,A300,Beneficiaries!$D$2:$D$301,"Primary"))</f>
        <v/>
      </c>
      <c r="U300" s="28" t="n"/>
      <c r="V300" s="28" t="n"/>
    </row>
    <row r="301">
      <c r="A301" s="28" t="n"/>
      <c r="B301" s="28" t="n"/>
      <c r="C301" s="28" t="n"/>
      <c r="D301" s="28" t="n"/>
      <c r="E301" s="28" t="n"/>
      <c r="F301" s="28" t="n"/>
      <c r="G301" s="29" t="n"/>
      <c r="H301" s="30" t="n"/>
      <c r="I301" s="28" t="n"/>
      <c r="J301" s="22">
        <f>IF(OR(H301="",I301=""),"",IF(I301="Single Pay",0,H301*IFERROR(INDEX(Lists!$D$2:$D$6,MATCH(I301,Lists!$C$2:$C$6,0)),0)))</f>
        <v/>
      </c>
      <c r="K301" s="31" t="n"/>
      <c r="L301" s="31" t="n"/>
      <c r="M301" s="32" t="n"/>
      <c r="N301" s="25">
        <f>IF(OR(L301="",M301=""),"",EDATE(L301,12*M301))</f>
        <v/>
      </c>
      <c r="O301" s="28" t="n"/>
      <c r="P301" s="32" t="n"/>
      <c r="Q301" s="31" t="n"/>
      <c r="R301" s="26">
        <f>IF(Q301="","",Q301-TODAY())</f>
        <v/>
      </c>
      <c r="S301" s="22">
        <f>IF(A301="","",SUMIFS(Payments!$C$2:$C$301,Payments!$B$2:$B$301,A301))</f>
        <v/>
      </c>
      <c r="T301" s="27">
        <f>IF(A301="","",SUMIFS(Beneficiaries!$E$2:$E$301,Beneficiaries!$A$2:$A$301,A301,Beneficiaries!$D$2:$D$301,"Primary"))</f>
        <v/>
      </c>
      <c r="U301" s="28" t="n"/>
      <c r="V301" s="28" t="n"/>
    </row>
  </sheetData>
  <autoFilter ref="A1:V301"/>
  <conditionalFormatting sqref="R2:R301">
    <cfRule type="expression" priority="1" dxfId="0">
      <formula>AND(ISNUMBER(R2),R2&lt;0)</formula>
    </cfRule>
    <cfRule type="expression" priority="2" dxfId="1">
      <formula>AND(ISNUMBER(R2),R2&gt;=0,R2&lt;=14)</formula>
    </cfRule>
  </conditionalFormatting>
  <conditionalFormatting sqref="T2:T301">
    <cfRule type="expression" priority="3" dxfId="2">
      <formula>AND(ISNUMBER(T2),ROUND(T2,4)&lt;&gt;1)</formula>
    </cfRule>
  </conditionalFormatting>
  <conditionalFormatting sqref="F2:F301">
    <cfRule type="expression" priority="4" dxfId="2">
      <formula>OR(F2="Lapsed",F2="Declined",F2="Cancelled")</formula>
    </cfRule>
    <cfRule type="expression" priority="5" dxfId="3">
      <formula>F2="In Force"</formula>
    </cfRule>
  </conditionalFormatting>
  <dataValidations count="5">
    <dataValidation sqref="E2:E301" showDropDown="0" showInputMessage="0" showErrorMessage="0" allowBlank="1" errorTitle="Invalid entry" error="Pick a value from the list (edit the Lists sheet to add options)." type="list">
      <formula1>=Lists!$A$2:$A$9</formula1>
    </dataValidation>
    <dataValidation sqref="F2:F301" showDropDown="0" showInputMessage="0" showErrorMessage="0" allowBlank="1" errorTitle="Invalid entry" error="Pick a value from the list (edit the Lists sheet to add options)." type="list">
      <formula1>=Lists!$B$2:$B$10</formula1>
    </dataValidation>
    <dataValidation sqref="I2:I301" showDropDown="0" showInputMessage="0" showErrorMessage="0" allowBlank="1" errorTitle="Invalid entry" error="Pick a value from the list (edit the Lists sheet to add options)." type="list">
      <formula1>=Lists!$C$2:$C$6</formula1>
    </dataValidation>
    <dataValidation sqref="O2:O301" showDropDown="0" showInputMessage="0" showErrorMessage="0" allowBlank="1" errorTitle="Invalid entry" error="Pick a value from the list (edit the Lists sheet to add options)." type="list">
      <formula1>=Lists!$E$2:$E$6</formula1>
    </dataValidation>
    <dataValidation sqref="P2:P301" showDropDown="0" showInputMessage="0" showErrorMessage="0" allowBlank="1" error="Enter a day of the month from 1 to 31." type="whole" operator="between">
      <formula1>1</formula1>
      <formula2>31</formula2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4" customWidth="1" min="2" max="2"/>
    <col width="16" customWidth="1" min="3" max="3"/>
    <col width="12" customWidth="1" min="4" max="4"/>
    <col width="10" customWidth="1" min="5" max="5"/>
    <col width="20" customWidth="1" min="6" max="6"/>
    <col width="36" customWidth="1" min="7" max="7"/>
  </cols>
  <sheetData>
    <row r="1" ht="32" customHeight="1">
      <c r="A1" s="18" t="inlineStr">
        <is>
          <t>Policy Number</t>
        </is>
      </c>
      <c r="B1" s="18" t="inlineStr">
        <is>
          <t>Beneficiary Name</t>
        </is>
      </c>
      <c r="C1" s="18" t="inlineStr">
        <is>
          <t>Relationship</t>
        </is>
      </c>
      <c r="D1" s="18" t="inlineStr">
        <is>
          <t>Type</t>
        </is>
      </c>
      <c r="E1" s="18" t="inlineStr">
        <is>
          <t>Share %</t>
        </is>
      </c>
      <c r="F1" s="18" t="inlineStr">
        <is>
          <t>Insured (lookup)</t>
        </is>
      </c>
      <c r="G1" s="18" t="inlineStr">
        <is>
          <t>Notes</t>
        </is>
      </c>
    </row>
    <row r="2">
      <c r="A2" s="19" t="inlineStr">
        <is>
          <t>EX-0001</t>
        </is>
      </c>
      <c r="B2" s="19" t="inlineStr">
        <is>
          <t>John Example</t>
        </is>
      </c>
      <c r="C2" s="19" t="inlineStr">
        <is>
          <t>Spouse</t>
        </is>
      </c>
      <c r="D2" s="19" t="inlineStr">
        <is>
          <t>Primary</t>
        </is>
      </c>
      <c r="E2" s="33" t="n">
        <v>1</v>
      </c>
      <c r="F2" s="34">
        <f>IF(A2="","",IFERROR(INDEX(Policies!$B$2:$B$301,MATCH(A2,Policies!$A$2:$A$301,0)),"Policy # not found"))</f>
        <v/>
      </c>
      <c r="G2" s="19" t="inlineStr">
        <is>
          <t>EXAMPLE ROW</t>
        </is>
      </c>
    </row>
    <row r="3">
      <c r="A3" s="19" t="inlineStr">
        <is>
          <t>EX-0001</t>
        </is>
      </c>
      <c r="B3" s="19" t="inlineStr">
        <is>
          <t>Kid Example</t>
        </is>
      </c>
      <c r="C3" s="19" t="inlineStr">
        <is>
          <t>Child</t>
        </is>
      </c>
      <c r="D3" s="19" t="inlineStr">
        <is>
          <t>Contingent</t>
        </is>
      </c>
      <c r="E3" s="33" t="n">
        <v>1</v>
      </c>
      <c r="F3" s="34">
        <f>IF(A3="","",IFERROR(INDEX(Policies!$B$2:$B$301,MATCH(A3,Policies!$A$2:$A$301,0)),"Policy # not found"))</f>
        <v/>
      </c>
      <c r="G3" s="19" t="inlineStr">
        <is>
          <t>EXAMPLE ROW</t>
        </is>
      </c>
    </row>
    <row r="4">
      <c r="A4" s="28" t="n"/>
      <c r="B4" s="28" t="n"/>
      <c r="C4" s="28" t="n"/>
      <c r="D4" s="28" t="n"/>
      <c r="E4" s="35" t="n"/>
      <c r="F4" s="34">
        <f>IF(A4="","",IFERROR(INDEX(Policies!$B$2:$B$301,MATCH(A4,Policies!$A$2:$A$301,0)),"Policy # not found"))</f>
        <v/>
      </c>
      <c r="G4" s="28" t="n"/>
    </row>
    <row r="5">
      <c r="A5" s="28" t="n"/>
      <c r="B5" s="28" t="n"/>
      <c r="C5" s="28" t="n"/>
      <c r="D5" s="28" t="n"/>
      <c r="E5" s="35" t="n"/>
      <c r="F5" s="34">
        <f>IF(A5="","",IFERROR(INDEX(Policies!$B$2:$B$301,MATCH(A5,Policies!$A$2:$A$301,0)),"Policy # not found"))</f>
        <v/>
      </c>
      <c r="G5" s="28" t="n"/>
    </row>
    <row r="6">
      <c r="A6" s="28" t="n"/>
      <c r="B6" s="28" t="n"/>
      <c r="C6" s="28" t="n"/>
      <c r="D6" s="28" t="n"/>
      <c r="E6" s="35" t="n"/>
      <c r="F6" s="34">
        <f>IF(A6="","",IFERROR(INDEX(Policies!$B$2:$B$301,MATCH(A6,Policies!$A$2:$A$301,0)),"Policy # not found"))</f>
        <v/>
      </c>
      <c r="G6" s="28" t="n"/>
    </row>
    <row r="7">
      <c r="A7" s="28" t="n"/>
      <c r="B7" s="28" t="n"/>
      <c r="C7" s="28" t="n"/>
      <c r="D7" s="28" t="n"/>
      <c r="E7" s="35" t="n"/>
      <c r="F7" s="34">
        <f>IF(A7="","",IFERROR(INDEX(Policies!$B$2:$B$301,MATCH(A7,Policies!$A$2:$A$301,0)),"Policy # not found"))</f>
        <v/>
      </c>
      <c r="G7" s="28" t="n"/>
    </row>
    <row r="8">
      <c r="A8" s="28" t="n"/>
      <c r="B8" s="28" t="n"/>
      <c r="C8" s="28" t="n"/>
      <c r="D8" s="28" t="n"/>
      <c r="E8" s="35" t="n"/>
      <c r="F8" s="34">
        <f>IF(A8="","",IFERROR(INDEX(Policies!$B$2:$B$301,MATCH(A8,Policies!$A$2:$A$301,0)),"Policy # not found"))</f>
        <v/>
      </c>
      <c r="G8" s="28" t="n"/>
    </row>
    <row r="9">
      <c r="A9" s="28" t="n"/>
      <c r="B9" s="28" t="n"/>
      <c r="C9" s="28" t="n"/>
      <c r="D9" s="28" t="n"/>
      <c r="E9" s="35" t="n"/>
      <c r="F9" s="34">
        <f>IF(A9="","",IFERROR(INDEX(Policies!$B$2:$B$301,MATCH(A9,Policies!$A$2:$A$301,0)),"Policy # not found"))</f>
        <v/>
      </c>
      <c r="G9" s="28" t="n"/>
    </row>
    <row r="10">
      <c r="A10" s="28" t="n"/>
      <c r="B10" s="28" t="n"/>
      <c r="C10" s="28" t="n"/>
      <c r="D10" s="28" t="n"/>
      <c r="E10" s="35" t="n"/>
      <c r="F10" s="34">
        <f>IF(A10="","",IFERROR(INDEX(Policies!$B$2:$B$301,MATCH(A10,Policies!$A$2:$A$301,0)),"Policy # not found"))</f>
        <v/>
      </c>
      <c r="G10" s="28" t="n"/>
    </row>
    <row r="11">
      <c r="A11" s="28" t="n"/>
      <c r="B11" s="28" t="n"/>
      <c r="C11" s="28" t="n"/>
      <c r="D11" s="28" t="n"/>
      <c r="E11" s="35" t="n"/>
      <c r="F11" s="34">
        <f>IF(A11="","",IFERROR(INDEX(Policies!$B$2:$B$301,MATCH(A11,Policies!$A$2:$A$301,0)),"Policy # not found"))</f>
        <v/>
      </c>
      <c r="G11" s="28" t="n"/>
    </row>
    <row r="12">
      <c r="A12" s="28" t="n"/>
      <c r="B12" s="28" t="n"/>
      <c r="C12" s="28" t="n"/>
      <c r="D12" s="28" t="n"/>
      <c r="E12" s="35" t="n"/>
      <c r="F12" s="34">
        <f>IF(A12="","",IFERROR(INDEX(Policies!$B$2:$B$301,MATCH(A12,Policies!$A$2:$A$301,0)),"Policy # not found"))</f>
        <v/>
      </c>
      <c r="G12" s="28" t="n"/>
    </row>
    <row r="13">
      <c r="A13" s="28" t="n"/>
      <c r="B13" s="28" t="n"/>
      <c r="C13" s="28" t="n"/>
      <c r="D13" s="28" t="n"/>
      <c r="E13" s="35" t="n"/>
      <c r="F13" s="34">
        <f>IF(A13="","",IFERROR(INDEX(Policies!$B$2:$B$301,MATCH(A13,Policies!$A$2:$A$301,0)),"Policy # not found"))</f>
        <v/>
      </c>
      <c r="G13" s="28" t="n"/>
    </row>
    <row r="14">
      <c r="A14" s="28" t="n"/>
      <c r="B14" s="28" t="n"/>
      <c r="C14" s="28" t="n"/>
      <c r="D14" s="28" t="n"/>
      <c r="E14" s="35" t="n"/>
      <c r="F14" s="34">
        <f>IF(A14="","",IFERROR(INDEX(Policies!$B$2:$B$301,MATCH(A14,Policies!$A$2:$A$301,0)),"Policy # not found"))</f>
        <v/>
      </c>
      <c r="G14" s="28" t="n"/>
    </row>
    <row r="15">
      <c r="A15" s="28" t="n"/>
      <c r="B15" s="28" t="n"/>
      <c r="C15" s="28" t="n"/>
      <c r="D15" s="28" t="n"/>
      <c r="E15" s="35" t="n"/>
      <c r="F15" s="34">
        <f>IF(A15="","",IFERROR(INDEX(Policies!$B$2:$B$301,MATCH(A15,Policies!$A$2:$A$301,0)),"Policy # not found"))</f>
        <v/>
      </c>
      <c r="G15" s="28" t="n"/>
    </row>
    <row r="16">
      <c r="A16" s="28" t="n"/>
      <c r="B16" s="28" t="n"/>
      <c r="C16" s="28" t="n"/>
      <c r="D16" s="28" t="n"/>
      <c r="E16" s="35" t="n"/>
      <c r="F16" s="34">
        <f>IF(A16="","",IFERROR(INDEX(Policies!$B$2:$B$301,MATCH(A16,Policies!$A$2:$A$301,0)),"Policy # not found"))</f>
        <v/>
      </c>
      <c r="G16" s="28" t="n"/>
    </row>
    <row r="17">
      <c r="A17" s="28" t="n"/>
      <c r="B17" s="28" t="n"/>
      <c r="C17" s="28" t="n"/>
      <c r="D17" s="28" t="n"/>
      <c r="E17" s="35" t="n"/>
      <c r="F17" s="34">
        <f>IF(A17="","",IFERROR(INDEX(Policies!$B$2:$B$301,MATCH(A17,Policies!$A$2:$A$301,0)),"Policy # not found"))</f>
        <v/>
      </c>
      <c r="G17" s="28" t="n"/>
    </row>
    <row r="18">
      <c r="A18" s="28" t="n"/>
      <c r="B18" s="28" t="n"/>
      <c r="C18" s="28" t="n"/>
      <c r="D18" s="28" t="n"/>
      <c r="E18" s="35" t="n"/>
      <c r="F18" s="34">
        <f>IF(A18="","",IFERROR(INDEX(Policies!$B$2:$B$301,MATCH(A18,Policies!$A$2:$A$301,0)),"Policy # not found"))</f>
        <v/>
      </c>
      <c r="G18" s="28" t="n"/>
    </row>
    <row r="19">
      <c r="A19" s="28" t="n"/>
      <c r="B19" s="28" t="n"/>
      <c r="C19" s="28" t="n"/>
      <c r="D19" s="28" t="n"/>
      <c r="E19" s="35" t="n"/>
      <c r="F19" s="34">
        <f>IF(A19="","",IFERROR(INDEX(Policies!$B$2:$B$301,MATCH(A19,Policies!$A$2:$A$301,0)),"Policy # not found"))</f>
        <v/>
      </c>
      <c r="G19" s="28" t="n"/>
    </row>
    <row r="20">
      <c r="A20" s="28" t="n"/>
      <c r="B20" s="28" t="n"/>
      <c r="C20" s="28" t="n"/>
      <c r="D20" s="28" t="n"/>
      <c r="E20" s="35" t="n"/>
      <c r="F20" s="34">
        <f>IF(A20="","",IFERROR(INDEX(Policies!$B$2:$B$301,MATCH(A20,Policies!$A$2:$A$301,0)),"Policy # not found"))</f>
        <v/>
      </c>
      <c r="G20" s="28" t="n"/>
    </row>
    <row r="21">
      <c r="A21" s="28" t="n"/>
      <c r="B21" s="28" t="n"/>
      <c r="C21" s="28" t="n"/>
      <c r="D21" s="28" t="n"/>
      <c r="E21" s="35" t="n"/>
      <c r="F21" s="34">
        <f>IF(A21="","",IFERROR(INDEX(Policies!$B$2:$B$301,MATCH(A21,Policies!$A$2:$A$301,0)),"Policy # not found"))</f>
        <v/>
      </c>
      <c r="G21" s="28" t="n"/>
    </row>
    <row r="22">
      <c r="A22" s="28" t="n"/>
      <c r="B22" s="28" t="n"/>
      <c r="C22" s="28" t="n"/>
      <c r="D22" s="28" t="n"/>
      <c r="E22" s="35" t="n"/>
      <c r="F22" s="34">
        <f>IF(A22="","",IFERROR(INDEX(Policies!$B$2:$B$301,MATCH(A22,Policies!$A$2:$A$301,0)),"Policy # not found"))</f>
        <v/>
      </c>
      <c r="G22" s="28" t="n"/>
    </row>
    <row r="23">
      <c r="A23" s="28" t="n"/>
      <c r="B23" s="28" t="n"/>
      <c r="C23" s="28" t="n"/>
      <c r="D23" s="28" t="n"/>
      <c r="E23" s="35" t="n"/>
      <c r="F23" s="34">
        <f>IF(A23="","",IFERROR(INDEX(Policies!$B$2:$B$301,MATCH(A23,Policies!$A$2:$A$301,0)),"Policy # not found"))</f>
        <v/>
      </c>
      <c r="G23" s="28" t="n"/>
    </row>
    <row r="24">
      <c r="A24" s="28" t="n"/>
      <c r="B24" s="28" t="n"/>
      <c r="C24" s="28" t="n"/>
      <c r="D24" s="28" t="n"/>
      <c r="E24" s="35" t="n"/>
      <c r="F24" s="34">
        <f>IF(A24="","",IFERROR(INDEX(Policies!$B$2:$B$301,MATCH(A24,Policies!$A$2:$A$301,0)),"Policy # not found"))</f>
        <v/>
      </c>
      <c r="G24" s="28" t="n"/>
    </row>
    <row r="25">
      <c r="A25" s="28" t="n"/>
      <c r="B25" s="28" t="n"/>
      <c r="C25" s="28" t="n"/>
      <c r="D25" s="28" t="n"/>
      <c r="E25" s="35" t="n"/>
      <c r="F25" s="34">
        <f>IF(A25="","",IFERROR(INDEX(Policies!$B$2:$B$301,MATCH(A25,Policies!$A$2:$A$301,0)),"Policy # not found"))</f>
        <v/>
      </c>
      <c r="G25" s="28" t="n"/>
    </row>
    <row r="26">
      <c r="A26" s="28" t="n"/>
      <c r="B26" s="28" t="n"/>
      <c r="C26" s="28" t="n"/>
      <c r="D26" s="28" t="n"/>
      <c r="E26" s="35" t="n"/>
      <c r="F26" s="34">
        <f>IF(A26="","",IFERROR(INDEX(Policies!$B$2:$B$301,MATCH(A26,Policies!$A$2:$A$301,0)),"Policy # not found"))</f>
        <v/>
      </c>
      <c r="G26" s="28" t="n"/>
    </row>
    <row r="27">
      <c r="A27" s="28" t="n"/>
      <c r="B27" s="28" t="n"/>
      <c r="C27" s="28" t="n"/>
      <c r="D27" s="28" t="n"/>
      <c r="E27" s="35" t="n"/>
      <c r="F27" s="34">
        <f>IF(A27="","",IFERROR(INDEX(Policies!$B$2:$B$301,MATCH(A27,Policies!$A$2:$A$301,0)),"Policy # not found"))</f>
        <v/>
      </c>
      <c r="G27" s="28" t="n"/>
    </row>
    <row r="28">
      <c r="A28" s="28" t="n"/>
      <c r="B28" s="28" t="n"/>
      <c r="C28" s="28" t="n"/>
      <c r="D28" s="28" t="n"/>
      <c r="E28" s="35" t="n"/>
      <c r="F28" s="34">
        <f>IF(A28="","",IFERROR(INDEX(Policies!$B$2:$B$301,MATCH(A28,Policies!$A$2:$A$301,0)),"Policy # not found"))</f>
        <v/>
      </c>
      <c r="G28" s="28" t="n"/>
    </row>
    <row r="29">
      <c r="A29" s="28" t="n"/>
      <c r="B29" s="28" t="n"/>
      <c r="C29" s="28" t="n"/>
      <c r="D29" s="28" t="n"/>
      <c r="E29" s="35" t="n"/>
      <c r="F29" s="34">
        <f>IF(A29="","",IFERROR(INDEX(Policies!$B$2:$B$301,MATCH(A29,Policies!$A$2:$A$301,0)),"Policy # not found"))</f>
        <v/>
      </c>
      <c r="G29" s="28" t="n"/>
    </row>
    <row r="30">
      <c r="A30" s="28" t="n"/>
      <c r="B30" s="28" t="n"/>
      <c r="C30" s="28" t="n"/>
      <c r="D30" s="28" t="n"/>
      <c r="E30" s="35" t="n"/>
      <c r="F30" s="34">
        <f>IF(A30="","",IFERROR(INDEX(Policies!$B$2:$B$301,MATCH(A30,Policies!$A$2:$A$301,0)),"Policy # not found"))</f>
        <v/>
      </c>
      <c r="G30" s="28" t="n"/>
    </row>
    <row r="31">
      <c r="A31" s="28" t="n"/>
      <c r="B31" s="28" t="n"/>
      <c r="C31" s="28" t="n"/>
      <c r="D31" s="28" t="n"/>
      <c r="E31" s="35" t="n"/>
      <c r="F31" s="34">
        <f>IF(A31="","",IFERROR(INDEX(Policies!$B$2:$B$301,MATCH(A31,Policies!$A$2:$A$301,0)),"Policy # not found"))</f>
        <v/>
      </c>
      <c r="G31" s="28" t="n"/>
    </row>
    <row r="32">
      <c r="A32" s="28" t="n"/>
      <c r="B32" s="28" t="n"/>
      <c r="C32" s="28" t="n"/>
      <c r="D32" s="28" t="n"/>
      <c r="E32" s="35" t="n"/>
      <c r="F32" s="34">
        <f>IF(A32="","",IFERROR(INDEX(Policies!$B$2:$B$301,MATCH(A32,Policies!$A$2:$A$301,0)),"Policy # not found"))</f>
        <v/>
      </c>
      <c r="G32" s="28" t="n"/>
    </row>
    <row r="33">
      <c r="A33" s="28" t="n"/>
      <c r="B33" s="28" t="n"/>
      <c r="C33" s="28" t="n"/>
      <c r="D33" s="28" t="n"/>
      <c r="E33" s="35" t="n"/>
      <c r="F33" s="34">
        <f>IF(A33="","",IFERROR(INDEX(Policies!$B$2:$B$301,MATCH(A33,Policies!$A$2:$A$301,0)),"Policy # not found"))</f>
        <v/>
      </c>
      <c r="G33" s="28" t="n"/>
    </row>
    <row r="34">
      <c r="A34" s="28" t="n"/>
      <c r="B34" s="28" t="n"/>
      <c r="C34" s="28" t="n"/>
      <c r="D34" s="28" t="n"/>
      <c r="E34" s="35" t="n"/>
      <c r="F34" s="34">
        <f>IF(A34="","",IFERROR(INDEX(Policies!$B$2:$B$301,MATCH(A34,Policies!$A$2:$A$301,0)),"Policy # not found"))</f>
        <v/>
      </c>
      <c r="G34" s="28" t="n"/>
    </row>
    <row r="35">
      <c r="A35" s="28" t="n"/>
      <c r="B35" s="28" t="n"/>
      <c r="C35" s="28" t="n"/>
      <c r="D35" s="28" t="n"/>
      <c r="E35" s="35" t="n"/>
      <c r="F35" s="34">
        <f>IF(A35="","",IFERROR(INDEX(Policies!$B$2:$B$301,MATCH(A35,Policies!$A$2:$A$301,0)),"Policy # not found"))</f>
        <v/>
      </c>
      <c r="G35" s="28" t="n"/>
    </row>
    <row r="36">
      <c r="A36" s="28" t="n"/>
      <c r="B36" s="28" t="n"/>
      <c r="C36" s="28" t="n"/>
      <c r="D36" s="28" t="n"/>
      <c r="E36" s="35" t="n"/>
      <c r="F36" s="34">
        <f>IF(A36="","",IFERROR(INDEX(Policies!$B$2:$B$301,MATCH(A36,Policies!$A$2:$A$301,0)),"Policy # not found"))</f>
        <v/>
      </c>
      <c r="G36" s="28" t="n"/>
    </row>
    <row r="37">
      <c r="A37" s="28" t="n"/>
      <c r="B37" s="28" t="n"/>
      <c r="C37" s="28" t="n"/>
      <c r="D37" s="28" t="n"/>
      <c r="E37" s="35" t="n"/>
      <c r="F37" s="34">
        <f>IF(A37="","",IFERROR(INDEX(Policies!$B$2:$B$301,MATCH(A37,Policies!$A$2:$A$301,0)),"Policy # not found"))</f>
        <v/>
      </c>
      <c r="G37" s="28" t="n"/>
    </row>
    <row r="38">
      <c r="A38" s="28" t="n"/>
      <c r="B38" s="28" t="n"/>
      <c r="C38" s="28" t="n"/>
      <c r="D38" s="28" t="n"/>
      <c r="E38" s="35" t="n"/>
      <c r="F38" s="34">
        <f>IF(A38="","",IFERROR(INDEX(Policies!$B$2:$B$301,MATCH(A38,Policies!$A$2:$A$301,0)),"Policy # not found"))</f>
        <v/>
      </c>
      <c r="G38" s="28" t="n"/>
    </row>
    <row r="39">
      <c r="A39" s="28" t="n"/>
      <c r="B39" s="28" t="n"/>
      <c r="C39" s="28" t="n"/>
      <c r="D39" s="28" t="n"/>
      <c r="E39" s="35" t="n"/>
      <c r="F39" s="34">
        <f>IF(A39="","",IFERROR(INDEX(Policies!$B$2:$B$301,MATCH(A39,Policies!$A$2:$A$301,0)),"Policy # not found"))</f>
        <v/>
      </c>
      <c r="G39" s="28" t="n"/>
    </row>
    <row r="40">
      <c r="A40" s="28" t="n"/>
      <c r="B40" s="28" t="n"/>
      <c r="C40" s="28" t="n"/>
      <c r="D40" s="28" t="n"/>
      <c r="E40" s="35" t="n"/>
      <c r="F40" s="34">
        <f>IF(A40="","",IFERROR(INDEX(Policies!$B$2:$B$301,MATCH(A40,Policies!$A$2:$A$301,0)),"Policy # not found"))</f>
        <v/>
      </c>
      <c r="G40" s="28" t="n"/>
    </row>
    <row r="41">
      <c r="A41" s="28" t="n"/>
      <c r="B41" s="28" t="n"/>
      <c r="C41" s="28" t="n"/>
      <c r="D41" s="28" t="n"/>
      <c r="E41" s="35" t="n"/>
      <c r="F41" s="34">
        <f>IF(A41="","",IFERROR(INDEX(Policies!$B$2:$B$301,MATCH(A41,Policies!$A$2:$A$301,0)),"Policy # not found"))</f>
        <v/>
      </c>
      <c r="G41" s="28" t="n"/>
    </row>
    <row r="42">
      <c r="A42" s="28" t="n"/>
      <c r="B42" s="28" t="n"/>
      <c r="C42" s="28" t="n"/>
      <c r="D42" s="28" t="n"/>
      <c r="E42" s="35" t="n"/>
      <c r="F42" s="34">
        <f>IF(A42="","",IFERROR(INDEX(Policies!$B$2:$B$301,MATCH(A42,Policies!$A$2:$A$301,0)),"Policy # not found"))</f>
        <v/>
      </c>
      <c r="G42" s="28" t="n"/>
    </row>
    <row r="43">
      <c r="A43" s="28" t="n"/>
      <c r="B43" s="28" t="n"/>
      <c r="C43" s="28" t="n"/>
      <c r="D43" s="28" t="n"/>
      <c r="E43" s="35" t="n"/>
      <c r="F43" s="34">
        <f>IF(A43="","",IFERROR(INDEX(Policies!$B$2:$B$301,MATCH(A43,Policies!$A$2:$A$301,0)),"Policy # not found"))</f>
        <v/>
      </c>
      <c r="G43" s="28" t="n"/>
    </row>
    <row r="44">
      <c r="A44" s="28" t="n"/>
      <c r="B44" s="28" t="n"/>
      <c r="C44" s="28" t="n"/>
      <c r="D44" s="28" t="n"/>
      <c r="E44" s="35" t="n"/>
      <c r="F44" s="34">
        <f>IF(A44="","",IFERROR(INDEX(Policies!$B$2:$B$301,MATCH(A44,Policies!$A$2:$A$301,0)),"Policy # not found"))</f>
        <v/>
      </c>
      <c r="G44" s="28" t="n"/>
    </row>
    <row r="45">
      <c r="A45" s="28" t="n"/>
      <c r="B45" s="28" t="n"/>
      <c r="C45" s="28" t="n"/>
      <c r="D45" s="28" t="n"/>
      <c r="E45" s="35" t="n"/>
      <c r="F45" s="34">
        <f>IF(A45="","",IFERROR(INDEX(Policies!$B$2:$B$301,MATCH(A45,Policies!$A$2:$A$301,0)),"Policy # not found"))</f>
        <v/>
      </c>
      <c r="G45" s="28" t="n"/>
    </row>
    <row r="46">
      <c r="A46" s="28" t="n"/>
      <c r="B46" s="28" t="n"/>
      <c r="C46" s="28" t="n"/>
      <c r="D46" s="28" t="n"/>
      <c r="E46" s="35" t="n"/>
      <c r="F46" s="34">
        <f>IF(A46="","",IFERROR(INDEX(Policies!$B$2:$B$301,MATCH(A46,Policies!$A$2:$A$301,0)),"Policy # not found"))</f>
        <v/>
      </c>
      <c r="G46" s="28" t="n"/>
    </row>
    <row r="47">
      <c r="A47" s="28" t="n"/>
      <c r="B47" s="28" t="n"/>
      <c r="C47" s="28" t="n"/>
      <c r="D47" s="28" t="n"/>
      <c r="E47" s="35" t="n"/>
      <c r="F47" s="34">
        <f>IF(A47="","",IFERROR(INDEX(Policies!$B$2:$B$301,MATCH(A47,Policies!$A$2:$A$301,0)),"Policy # not found"))</f>
        <v/>
      </c>
      <c r="G47" s="28" t="n"/>
    </row>
    <row r="48">
      <c r="A48" s="28" t="n"/>
      <c r="B48" s="28" t="n"/>
      <c r="C48" s="28" t="n"/>
      <c r="D48" s="28" t="n"/>
      <c r="E48" s="35" t="n"/>
      <c r="F48" s="34">
        <f>IF(A48="","",IFERROR(INDEX(Policies!$B$2:$B$301,MATCH(A48,Policies!$A$2:$A$301,0)),"Policy # not found"))</f>
        <v/>
      </c>
      <c r="G48" s="28" t="n"/>
    </row>
    <row r="49">
      <c r="A49" s="28" t="n"/>
      <c r="B49" s="28" t="n"/>
      <c r="C49" s="28" t="n"/>
      <c r="D49" s="28" t="n"/>
      <c r="E49" s="35" t="n"/>
      <c r="F49" s="34">
        <f>IF(A49="","",IFERROR(INDEX(Policies!$B$2:$B$301,MATCH(A49,Policies!$A$2:$A$301,0)),"Policy # not found"))</f>
        <v/>
      </c>
      <c r="G49" s="28" t="n"/>
    </row>
    <row r="50">
      <c r="A50" s="28" t="n"/>
      <c r="B50" s="28" t="n"/>
      <c r="C50" s="28" t="n"/>
      <c r="D50" s="28" t="n"/>
      <c r="E50" s="35" t="n"/>
      <c r="F50" s="34">
        <f>IF(A50="","",IFERROR(INDEX(Policies!$B$2:$B$301,MATCH(A50,Policies!$A$2:$A$301,0)),"Policy # not found"))</f>
        <v/>
      </c>
      <c r="G50" s="28" t="n"/>
    </row>
    <row r="51">
      <c r="A51" s="28" t="n"/>
      <c r="B51" s="28" t="n"/>
      <c r="C51" s="28" t="n"/>
      <c r="D51" s="28" t="n"/>
      <c r="E51" s="35" t="n"/>
      <c r="F51" s="34">
        <f>IF(A51="","",IFERROR(INDEX(Policies!$B$2:$B$301,MATCH(A51,Policies!$A$2:$A$301,0)),"Policy # not found"))</f>
        <v/>
      </c>
      <c r="G51" s="28" t="n"/>
    </row>
    <row r="52">
      <c r="A52" s="28" t="n"/>
      <c r="B52" s="28" t="n"/>
      <c r="C52" s="28" t="n"/>
      <c r="D52" s="28" t="n"/>
      <c r="E52" s="35" t="n"/>
      <c r="F52" s="34">
        <f>IF(A52="","",IFERROR(INDEX(Policies!$B$2:$B$301,MATCH(A52,Policies!$A$2:$A$301,0)),"Policy # not found"))</f>
        <v/>
      </c>
      <c r="G52" s="28" t="n"/>
    </row>
    <row r="53">
      <c r="A53" s="28" t="n"/>
      <c r="B53" s="28" t="n"/>
      <c r="C53" s="28" t="n"/>
      <c r="D53" s="28" t="n"/>
      <c r="E53" s="35" t="n"/>
      <c r="F53" s="34">
        <f>IF(A53="","",IFERROR(INDEX(Policies!$B$2:$B$301,MATCH(A53,Policies!$A$2:$A$301,0)),"Policy # not found"))</f>
        <v/>
      </c>
      <c r="G53" s="28" t="n"/>
    </row>
    <row r="54">
      <c r="A54" s="28" t="n"/>
      <c r="B54" s="28" t="n"/>
      <c r="C54" s="28" t="n"/>
      <c r="D54" s="28" t="n"/>
      <c r="E54" s="35" t="n"/>
      <c r="F54" s="34">
        <f>IF(A54="","",IFERROR(INDEX(Policies!$B$2:$B$301,MATCH(A54,Policies!$A$2:$A$301,0)),"Policy # not found"))</f>
        <v/>
      </c>
      <c r="G54" s="28" t="n"/>
    </row>
    <row r="55">
      <c r="A55" s="28" t="n"/>
      <c r="B55" s="28" t="n"/>
      <c r="C55" s="28" t="n"/>
      <c r="D55" s="28" t="n"/>
      <c r="E55" s="35" t="n"/>
      <c r="F55" s="34">
        <f>IF(A55="","",IFERROR(INDEX(Policies!$B$2:$B$301,MATCH(A55,Policies!$A$2:$A$301,0)),"Policy # not found"))</f>
        <v/>
      </c>
      <c r="G55" s="28" t="n"/>
    </row>
    <row r="56">
      <c r="A56" s="28" t="n"/>
      <c r="B56" s="28" t="n"/>
      <c r="C56" s="28" t="n"/>
      <c r="D56" s="28" t="n"/>
      <c r="E56" s="35" t="n"/>
      <c r="F56" s="34">
        <f>IF(A56="","",IFERROR(INDEX(Policies!$B$2:$B$301,MATCH(A56,Policies!$A$2:$A$301,0)),"Policy # not found"))</f>
        <v/>
      </c>
      <c r="G56" s="28" t="n"/>
    </row>
    <row r="57">
      <c r="A57" s="28" t="n"/>
      <c r="B57" s="28" t="n"/>
      <c r="C57" s="28" t="n"/>
      <c r="D57" s="28" t="n"/>
      <c r="E57" s="35" t="n"/>
      <c r="F57" s="34">
        <f>IF(A57="","",IFERROR(INDEX(Policies!$B$2:$B$301,MATCH(A57,Policies!$A$2:$A$301,0)),"Policy # not found"))</f>
        <v/>
      </c>
      <c r="G57" s="28" t="n"/>
    </row>
    <row r="58">
      <c r="A58" s="28" t="n"/>
      <c r="B58" s="28" t="n"/>
      <c r="C58" s="28" t="n"/>
      <c r="D58" s="28" t="n"/>
      <c r="E58" s="35" t="n"/>
      <c r="F58" s="34">
        <f>IF(A58="","",IFERROR(INDEX(Policies!$B$2:$B$301,MATCH(A58,Policies!$A$2:$A$301,0)),"Policy # not found"))</f>
        <v/>
      </c>
      <c r="G58" s="28" t="n"/>
    </row>
    <row r="59">
      <c r="A59" s="28" t="n"/>
      <c r="B59" s="28" t="n"/>
      <c r="C59" s="28" t="n"/>
      <c r="D59" s="28" t="n"/>
      <c r="E59" s="35" t="n"/>
      <c r="F59" s="34">
        <f>IF(A59="","",IFERROR(INDEX(Policies!$B$2:$B$301,MATCH(A59,Policies!$A$2:$A$301,0)),"Policy # not found"))</f>
        <v/>
      </c>
      <c r="G59" s="28" t="n"/>
    </row>
    <row r="60">
      <c r="A60" s="28" t="n"/>
      <c r="B60" s="28" t="n"/>
      <c r="C60" s="28" t="n"/>
      <c r="D60" s="28" t="n"/>
      <c r="E60" s="35" t="n"/>
      <c r="F60" s="34">
        <f>IF(A60="","",IFERROR(INDEX(Policies!$B$2:$B$301,MATCH(A60,Policies!$A$2:$A$301,0)),"Policy # not found"))</f>
        <v/>
      </c>
      <c r="G60" s="28" t="n"/>
    </row>
    <row r="61">
      <c r="A61" s="28" t="n"/>
      <c r="B61" s="28" t="n"/>
      <c r="C61" s="28" t="n"/>
      <c r="D61" s="28" t="n"/>
      <c r="E61" s="35" t="n"/>
      <c r="F61" s="34">
        <f>IF(A61="","",IFERROR(INDEX(Policies!$B$2:$B$301,MATCH(A61,Policies!$A$2:$A$301,0)),"Policy # not found"))</f>
        <v/>
      </c>
      <c r="G61" s="28" t="n"/>
    </row>
    <row r="62">
      <c r="A62" s="28" t="n"/>
      <c r="B62" s="28" t="n"/>
      <c r="C62" s="28" t="n"/>
      <c r="D62" s="28" t="n"/>
      <c r="E62" s="35" t="n"/>
      <c r="F62" s="34">
        <f>IF(A62="","",IFERROR(INDEX(Policies!$B$2:$B$301,MATCH(A62,Policies!$A$2:$A$301,0)),"Policy # not found"))</f>
        <v/>
      </c>
      <c r="G62" s="28" t="n"/>
    </row>
    <row r="63">
      <c r="A63" s="28" t="n"/>
      <c r="B63" s="28" t="n"/>
      <c r="C63" s="28" t="n"/>
      <c r="D63" s="28" t="n"/>
      <c r="E63" s="35" t="n"/>
      <c r="F63" s="34">
        <f>IF(A63="","",IFERROR(INDEX(Policies!$B$2:$B$301,MATCH(A63,Policies!$A$2:$A$301,0)),"Policy # not found"))</f>
        <v/>
      </c>
      <c r="G63" s="28" t="n"/>
    </row>
    <row r="64">
      <c r="A64" s="28" t="n"/>
      <c r="B64" s="28" t="n"/>
      <c r="C64" s="28" t="n"/>
      <c r="D64" s="28" t="n"/>
      <c r="E64" s="35" t="n"/>
      <c r="F64" s="34">
        <f>IF(A64="","",IFERROR(INDEX(Policies!$B$2:$B$301,MATCH(A64,Policies!$A$2:$A$301,0)),"Policy # not found"))</f>
        <v/>
      </c>
      <c r="G64" s="28" t="n"/>
    </row>
    <row r="65">
      <c r="A65" s="28" t="n"/>
      <c r="B65" s="28" t="n"/>
      <c r="C65" s="28" t="n"/>
      <c r="D65" s="28" t="n"/>
      <c r="E65" s="35" t="n"/>
      <c r="F65" s="34">
        <f>IF(A65="","",IFERROR(INDEX(Policies!$B$2:$B$301,MATCH(A65,Policies!$A$2:$A$301,0)),"Policy # not found"))</f>
        <v/>
      </c>
      <c r="G65" s="28" t="n"/>
    </row>
    <row r="66">
      <c r="A66" s="28" t="n"/>
      <c r="B66" s="28" t="n"/>
      <c r="C66" s="28" t="n"/>
      <c r="D66" s="28" t="n"/>
      <c r="E66" s="35" t="n"/>
      <c r="F66" s="34">
        <f>IF(A66="","",IFERROR(INDEX(Policies!$B$2:$B$301,MATCH(A66,Policies!$A$2:$A$301,0)),"Policy # not found"))</f>
        <v/>
      </c>
      <c r="G66" s="28" t="n"/>
    </row>
    <row r="67">
      <c r="A67" s="28" t="n"/>
      <c r="B67" s="28" t="n"/>
      <c r="C67" s="28" t="n"/>
      <c r="D67" s="28" t="n"/>
      <c r="E67" s="35" t="n"/>
      <c r="F67" s="34">
        <f>IF(A67="","",IFERROR(INDEX(Policies!$B$2:$B$301,MATCH(A67,Policies!$A$2:$A$301,0)),"Policy # not found"))</f>
        <v/>
      </c>
      <c r="G67" s="28" t="n"/>
    </row>
    <row r="68">
      <c r="A68" s="28" t="n"/>
      <c r="B68" s="28" t="n"/>
      <c r="C68" s="28" t="n"/>
      <c r="D68" s="28" t="n"/>
      <c r="E68" s="35" t="n"/>
      <c r="F68" s="34">
        <f>IF(A68="","",IFERROR(INDEX(Policies!$B$2:$B$301,MATCH(A68,Policies!$A$2:$A$301,0)),"Policy # not found"))</f>
        <v/>
      </c>
      <c r="G68" s="28" t="n"/>
    </row>
    <row r="69">
      <c r="A69" s="28" t="n"/>
      <c r="B69" s="28" t="n"/>
      <c r="C69" s="28" t="n"/>
      <c r="D69" s="28" t="n"/>
      <c r="E69" s="35" t="n"/>
      <c r="F69" s="34">
        <f>IF(A69="","",IFERROR(INDEX(Policies!$B$2:$B$301,MATCH(A69,Policies!$A$2:$A$301,0)),"Policy # not found"))</f>
        <v/>
      </c>
      <c r="G69" s="28" t="n"/>
    </row>
    <row r="70">
      <c r="A70" s="28" t="n"/>
      <c r="B70" s="28" t="n"/>
      <c r="C70" s="28" t="n"/>
      <c r="D70" s="28" t="n"/>
      <c r="E70" s="35" t="n"/>
      <c r="F70" s="34">
        <f>IF(A70="","",IFERROR(INDEX(Policies!$B$2:$B$301,MATCH(A70,Policies!$A$2:$A$301,0)),"Policy # not found"))</f>
        <v/>
      </c>
      <c r="G70" s="28" t="n"/>
    </row>
    <row r="71">
      <c r="A71" s="28" t="n"/>
      <c r="B71" s="28" t="n"/>
      <c r="C71" s="28" t="n"/>
      <c r="D71" s="28" t="n"/>
      <c r="E71" s="35" t="n"/>
      <c r="F71" s="34">
        <f>IF(A71="","",IFERROR(INDEX(Policies!$B$2:$B$301,MATCH(A71,Policies!$A$2:$A$301,0)),"Policy # not found"))</f>
        <v/>
      </c>
      <c r="G71" s="28" t="n"/>
    </row>
    <row r="72">
      <c r="A72" s="28" t="n"/>
      <c r="B72" s="28" t="n"/>
      <c r="C72" s="28" t="n"/>
      <c r="D72" s="28" t="n"/>
      <c r="E72" s="35" t="n"/>
      <c r="F72" s="34">
        <f>IF(A72="","",IFERROR(INDEX(Policies!$B$2:$B$301,MATCH(A72,Policies!$A$2:$A$301,0)),"Policy # not found"))</f>
        <v/>
      </c>
      <c r="G72" s="28" t="n"/>
    </row>
    <row r="73">
      <c r="A73" s="28" t="n"/>
      <c r="B73" s="28" t="n"/>
      <c r="C73" s="28" t="n"/>
      <c r="D73" s="28" t="n"/>
      <c r="E73" s="35" t="n"/>
      <c r="F73" s="34">
        <f>IF(A73="","",IFERROR(INDEX(Policies!$B$2:$B$301,MATCH(A73,Policies!$A$2:$A$301,0)),"Policy # not found"))</f>
        <v/>
      </c>
      <c r="G73" s="28" t="n"/>
    </row>
    <row r="74">
      <c r="A74" s="28" t="n"/>
      <c r="B74" s="28" t="n"/>
      <c r="C74" s="28" t="n"/>
      <c r="D74" s="28" t="n"/>
      <c r="E74" s="35" t="n"/>
      <c r="F74" s="34">
        <f>IF(A74="","",IFERROR(INDEX(Policies!$B$2:$B$301,MATCH(A74,Policies!$A$2:$A$301,0)),"Policy # not found"))</f>
        <v/>
      </c>
      <c r="G74" s="28" t="n"/>
    </row>
    <row r="75">
      <c r="A75" s="28" t="n"/>
      <c r="B75" s="28" t="n"/>
      <c r="C75" s="28" t="n"/>
      <c r="D75" s="28" t="n"/>
      <c r="E75" s="35" t="n"/>
      <c r="F75" s="34">
        <f>IF(A75="","",IFERROR(INDEX(Policies!$B$2:$B$301,MATCH(A75,Policies!$A$2:$A$301,0)),"Policy # not found"))</f>
        <v/>
      </c>
      <c r="G75" s="28" t="n"/>
    </row>
    <row r="76">
      <c r="A76" s="28" t="n"/>
      <c r="B76" s="28" t="n"/>
      <c r="C76" s="28" t="n"/>
      <c r="D76" s="28" t="n"/>
      <c r="E76" s="35" t="n"/>
      <c r="F76" s="34">
        <f>IF(A76="","",IFERROR(INDEX(Policies!$B$2:$B$301,MATCH(A76,Policies!$A$2:$A$301,0)),"Policy # not found"))</f>
        <v/>
      </c>
      <c r="G76" s="28" t="n"/>
    </row>
    <row r="77">
      <c r="A77" s="28" t="n"/>
      <c r="B77" s="28" t="n"/>
      <c r="C77" s="28" t="n"/>
      <c r="D77" s="28" t="n"/>
      <c r="E77" s="35" t="n"/>
      <c r="F77" s="34">
        <f>IF(A77="","",IFERROR(INDEX(Policies!$B$2:$B$301,MATCH(A77,Policies!$A$2:$A$301,0)),"Policy # not found"))</f>
        <v/>
      </c>
      <c r="G77" s="28" t="n"/>
    </row>
    <row r="78">
      <c r="A78" s="28" t="n"/>
      <c r="B78" s="28" t="n"/>
      <c r="C78" s="28" t="n"/>
      <c r="D78" s="28" t="n"/>
      <c r="E78" s="35" t="n"/>
      <c r="F78" s="34">
        <f>IF(A78="","",IFERROR(INDEX(Policies!$B$2:$B$301,MATCH(A78,Policies!$A$2:$A$301,0)),"Policy # not found"))</f>
        <v/>
      </c>
      <c r="G78" s="28" t="n"/>
    </row>
    <row r="79">
      <c r="A79" s="28" t="n"/>
      <c r="B79" s="28" t="n"/>
      <c r="C79" s="28" t="n"/>
      <c r="D79" s="28" t="n"/>
      <c r="E79" s="35" t="n"/>
      <c r="F79" s="34">
        <f>IF(A79="","",IFERROR(INDEX(Policies!$B$2:$B$301,MATCH(A79,Policies!$A$2:$A$301,0)),"Policy # not found"))</f>
        <v/>
      </c>
      <c r="G79" s="28" t="n"/>
    </row>
    <row r="80">
      <c r="A80" s="28" t="n"/>
      <c r="B80" s="28" t="n"/>
      <c r="C80" s="28" t="n"/>
      <c r="D80" s="28" t="n"/>
      <c r="E80" s="35" t="n"/>
      <c r="F80" s="34">
        <f>IF(A80="","",IFERROR(INDEX(Policies!$B$2:$B$301,MATCH(A80,Policies!$A$2:$A$301,0)),"Policy # not found"))</f>
        <v/>
      </c>
      <c r="G80" s="28" t="n"/>
    </row>
    <row r="81">
      <c r="A81" s="28" t="n"/>
      <c r="B81" s="28" t="n"/>
      <c r="C81" s="28" t="n"/>
      <c r="D81" s="28" t="n"/>
      <c r="E81" s="35" t="n"/>
      <c r="F81" s="34">
        <f>IF(A81="","",IFERROR(INDEX(Policies!$B$2:$B$301,MATCH(A81,Policies!$A$2:$A$301,0)),"Policy # not found"))</f>
        <v/>
      </c>
      <c r="G81" s="28" t="n"/>
    </row>
    <row r="82">
      <c r="A82" s="28" t="n"/>
      <c r="B82" s="28" t="n"/>
      <c r="C82" s="28" t="n"/>
      <c r="D82" s="28" t="n"/>
      <c r="E82" s="35" t="n"/>
      <c r="F82" s="34">
        <f>IF(A82="","",IFERROR(INDEX(Policies!$B$2:$B$301,MATCH(A82,Policies!$A$2:$A$301,0)),"Policy # not found"))</f>
        <v/>
      </c>
      <c r="G82" s="28" t="n"/>
    </row>
    <row r="83">
      <c r="A83" s="28" t="n"/>
      <c r="B83" s="28" t="n"/>
      <c r="C83" s="28" t="n"/>
      <c r="D83" s="28" t="n"/>
      <c r="E83" s="35" t="n"/>
      <c r="F83" s="34">
        <f>IF(A83="","",IFERROR(INDEX(Policies!$B$2:$B$301,MATCH(A83,Policies!$A$2:$A$301,0)),"Policy # not found"))</f>
        <v/>
      </c>
      <c r="G83" s="28" t="n"/>
    </row>
    <row r="84">
      <c r="A84" s="28" t="n"/>
      <c r="B84" s="28" t="n"/>
      <c r="C84" s="28" t="n"/>
      <c r="D84" s="28" t="n"/>
      <c r="E84" s="35" t="n"/>
      <c r="F84" s="34">
        <f>IF(A84="","",IFERROR(INDEX(Policies!$B$2:$B$301,MATCH(A84,Policies!$A$2:$A$301,0)),"Policy # not found"))</f>
        <v/>
      </c>
      <c r="G84" s="28" t="n"/>
    </row>
    <row r="85">
      <c r="A85" s="28" t="n"/>
      <c r="B85" s="28" t="n"/>
      <c r="C85" s="28" t="n"/>
      <c r="D85" s="28" t="n"/>
      <c r="E85" s="35" t="n"/>
      <c r="F85" s="34">
        <f>IF(A85="","",IFERROR(INDEX(Policies!$B$2:$B$301,MATCH(A85,Policies!$A$2:$A$301,0)),"Policy # not found"))</f>
        <v/>
      </c>
      <c r="G85" s="28" t="n"/>
    </row>
    <row r="86">
      <c r="A86" s="28" t="n"/>
      <c r="B86" s="28" t="n"/>
      <c r="C86" s="28" t="n"/>
      <c r="D86" s="28" t="n"/>
      <c r="E86" s="35" t="n"/>
      <c r="F86" s="34">
        <f>IF(A86="","",IFERROR(INDEX(Policies!$B$2:$B$301,MATCH(A86,Policies!$A$2:$A$301,0)),"Policy # not found"))</f>
        <v/>
      </c>
      <c r="G86" s="28" t="n"/>
    </row>
    <row r="87">
      <c r="A87" s="28" t="n"/>
      <c r="B87" s="28" t="n"/>
      <c r="C87" s="28" t="n"/>
      <c r="D87" s="28" t="n"/>
      <c r="E87" s="35" t="n"/>
      <c r="F87" s="34">
        <f>IF(A87="","",IFERROR(INDEX(Policies!$B$2:$B$301,MATCH(A87,Policies!$A$2:$A$301,0)),"Policy # not found"))</f>
        <v/>
      </c>
      <c r="G87" s="28" t="n"/>
    </row>
    <row r="88">
      <c r="A88" s="28" t="n"/>
      <c r="B88" s="28" t="n"/>
      <c r="C88" s="28" t="n"/>
      <c r="D88" s="28" t="n"/>
      <c r="E88" s="35" t="n"/>
      <c r="F88" s="34">
        <f>IF(A88="","",IFERROR(INDEX(Policies!$B$2:$B$301,MATCH(A88,Policies!$A$2:$A$301,0)),"Policy # not found"))</f>
        <v/>
      </c>
      <c r="G88" s="28" t="n"/>
    </row>
    <row r="89">
      <c r="A89" s="28" t="n"/>
      <c r="B89" s="28" t="n"/>
      <c r="C89" s="28" t="n"/>
      <c r="D89" s="28" t="n"/>
      <c r="E89" s="35" t="n"/>
      <c r="F89" s="34">
        <f>IF(A89="","",IFERROR(INDEX(Policies!$B$2:$B$301,MATCH(A89,Policies!$A$2:$A$301,0)),"Policy # not found"))</f>
        <v/>
      </c>
      <c r="G89" s="28" t="n"/>
    </row>
    <row r="90">
      <c r="A90" s="28" t="n"/>
      <c r="B90" s="28" t="n"/>
      <c r="C90" s="28" t="n"/>
      <c r="D90" s="28" t="n"/>
      <c r="E90" s="35" t="n"/>
      <c r="F90" s="34">
        <f>IF(A90="","",IFERROR(INDEX(Policies!$B$2:$B$301,MATCH(A90,Policies!$A$2:$A$301,0)),"Policy # not found"))</f>
        <v/>
      </c>
      <c r="G90" s="28" t="n"/>
    </row>
    <row r="91">
      <c r="A91" s="28" t="n"/>
      <c r="B91" s="28" t="n"/>
      <c r="C91" s="28" t="n"/>
      <c r="D91" s="28" t="n"/>
      <c r="E91" s="35" t="n"/>
      <c r="F91" s="34">
        <f>IF(A91="","",IFERROR(INDEX(Policies!$B$2:$B$301,MATCH(A91,Policies!$A$2:$A$301,0)),"Policy # not found"))</f>
        <v/>
      </c>
      <c r="G91" s="28" t="n"/>
    </row>
    <row r="92">
      <c r="A92" s="28" t="n"/>
      <c r="B92" s="28" t="n"/>
      <c r="C92" s="28" t="n"/>
      <c r="D92" s="28" t="n"/>
      <c r="E92" s="35" t="n"/>
      <c r="F92" s="34">
        <f>IF(A92="","",IFERROR(INDEX(Policies!$B$2:$B$301,MATCH(A92,Policies!$A$2:$A$301,0)),"Policy # not found"))</f>
        <v/>
      </c>
      <c r="G92" s="28" t="n"/>
    </row>
    <row r="93">
      <c r="A93" s="28" t="n"/>
      <c r="B93" s="28" t="n"/>
      <c r="C93" s="28" t="n"/>
      <c r="D93" s="28" t="n"/>
      <c r="E93" s="35" t="n"/>
      <c r="F93" s="34">
        <f>IF(A93="","",IFERROR(INDEX(Policies!$B$2:$B$301,MATCH(A93,Policies!$A$2:$A$301,0)),"Policy # not found"))</f>
        <v/>
      </c>
      <c r="G93" s="28" t="n"/>
    </row>
    <row r="94">
      <c r="A94" s="28" t="n"/>
      <c r="B94" s="28" t="n"/>
      <c r="C94" s="28" t="n"/>
      <c r="D94" s="28" t="n"/>
      <c r="E94" s="35" t="n"/>
      <c r="F94" s="34">
        <f>IF(A94="","",IFERROR(INDEX(Policies!$B$2:$B$301,MATCH(A94,Policies!$A$2:$A$301,0)),"Policy # not found"))</f>
        <v/>
      </c>
      <c r="G94" s="28" t="n"/>
    </row>
    <row r="95">
      <c r="A95" s="28" t="n"/>
      <c r="B95" s="28" t="n"/>
      <c r="C95" s="28" t="n"/>
      <c r="D95" s="28" t="n"/>
      <c r="E95" s="35" t="n"/>
      <c r="F95" s="34">
        <f>IF(A95="","",IFERROR(INDEX(Policies!$B$2:$B$301,MATCH(A95,Policies!$A$2:$A$301,0)),"Policy # not found"))</f>
        <v/>
      </c>
      <c r="G95" s="28" t="n"/>
    </row>
    <row r="96">
      <c r="A96" s="28" t="n"/>
      <c r="B96" s="28" t="n"/>
      <c r="C96" s="28" t="n"/>
      <c r="D96" s="28" t="n"/>
      <c r="E96" s="35" t="n"/>
      <c r="F96" s="34">
        <f>IF(A96="","",IFERROR(INDEX(Policies!$B$2:$B$301,MATCH(A96,Policies!$A$2:$A$301,0)),"Policy # not found"))</f>
        <v/>
      </c>
      <c r="G96" s="28" t="n"/>
    </row>
    <row r="97">
      <c r="A97" s="28" t="n"/>
      <c r="B97" s="28" t="n"/>
      <c r="C97" s="28" t="n"/>
      <c r="D97" s="28" t="n"/>
      <c r="E97" s="35" t="n"/>
      <c r="F97" s="34">
        <f>IF(A97="","",IFERROR(INDEX(Policies!$B$2:$B$301,MATCH(A97,Policies!$A$2:$A$301,0)),"Policy # not found"))</f>
        <v/>
      </c>
      <c r="G97" s="28" t="n"/>
    </row>
    <row r="98">
      <c r="A98" s="28" t="n"/>
      <c r="B98" s="28" t="n"/>
      <c r="C98" s="28" t="n"/>
      <c r="D98" s="28" t="n"/>
      <c r="E98" s="35" t="n"/>
      <c r="F98" s="34">
        <f>IF(A98="","",IFERROR(INDEX(Policies!$B$2:$B$301,MATCH(A98,Policies!$A$2:$A$301,0)),"Policy # not found"))</f>
        <v/>
      </c>
      <c r="G98" s="28" t="n"/>
    </row>
    <row r="99">
      <c r="A99" s="28" t="n"/>
      <c r="B99" s="28" t="n"/>
      <c r="C99" s="28" t="n"/>
      <c r="D99" s="28" t="n"/>
      <c r="E99" s="35" t="n"/>
      <c r="F99" s="34">
        <f>IF(A99="","",IFERROR(INDEX(Policies!$B$2:$B$301,MATCH(A99,Policies!$A$2:$A$301,0)),"Policy # not found"))</f>
        <v/>
      </c>
      <c r="G99" s="28" t="n"/>
    </row>
    <row r="100">
      <c r="A100" s="28" t="n"/>
      <c r="B100" s="28" t="n"/>
      <c r="C100" s="28" t="n"/>
      <c r="D100" s="28" t="n"/>
      <c r="E100" s="35" t="n"/>
      <c r="F100" s="34">
        <f>IF(A100="","",IFERROR(INDEX(Policies!$B$2:$B$301,MATCH(A100,Policies!$A$2:$A$301,0)),"Policy # not found"))</f>
        <v/>
      </c>
      <c r="G100" s="28" t="n"/>
    </row>
    <row r="101">
      <c r="A101" s="28" t="n"/>
      <c r="B101" s="28" t="n"/>
      <c r="C101" s="28" t="n"/>
      <c r="D101" s="28" t="n"/>
      <c r="E101" s="35" t="n"/>
      <c r="F101" s="34">
        <f>IF(A101="","",IFERROR(INDEX(Policies!$B$2:$B$301,MATCH(A101,Policies!$A$2:$A$301,0)),"Policy # not found"))</f>
        <v/>
      </c>
      <c r="G101" s="28" t="n"/>
    </row>
    <row r="102">
      <c r="A102" s="28" t="n"/>
      <c r="B102" s="28" t="n"/>
      <c r="C102" s="28" t="n"/>
      <c r="D102" s="28" t="n"/>
      <c r="E102" s="35" t="n"/>
      <c r="F102" s="34">
        <f>IF(A102="","",IFERROR(INDEX(Policies!$B$2:$B$301,MATCH(A102,Policies!$A$2:$A$301,0)),"Policy # not found"))</f>
        <v/>
      </c>
      <c r="G102" s="28" t="n"/>
    </row>
    <row r="103">
      <c r="A103" s="28" t="n"/>
      <c r="B103" s="28" t="n"/>
      <c r="C103" s="28" t="n"/>
      <c r="D103" s="28" t="n"/>
      <c r="E103" s="35" t="n"/>
      <c r="F103" s="34">
        <f>IF(A103="","",IFERROR(INDEX(Policies!$B$2:$B$301,MATCH(A103,Policies!$A$2:$A$301,0)),"Policy # not found"))</f>
        <v/>
      </c>
      <c r="G103" s="28" t="n"/>
    </row>
    <row r="104">
      <c r="A104" s="28" t="n"/>
      <c r="B104" s="28" t="n"/>
      <c r="C104" s="28" t="n"/>
      <c r="D104" s="28" t="n"/>
      <c r="E104" s="35" t="n"/>
      <c r="F104" s="34">
        <f>IF(A104="","",IFERROR(INDEX(Policies!$B$2:$B$301,MATCH(A104,Policies!$A$2:$A$301,0)),"Policy # not found"))</f>
        <v/>
      </c>
      <c r="G104" s="28" t="n"/>
    </row>
    <row r="105">
      <c r="A105" s="28" t="n"/>
      <c r="B105" s="28" t="n"/>
      <c r="C105" s="28" t="n"/>
      <c r="D105" s="28" t="n"/>
      <c r="E105" s="35" t="n"/>
      <c r="F105" s="34">
        <f>IF(A105="","",IFERROR(INDEX(Policies!$B$2:$B$301,MATCH(A105,Policies!$A$2:$A$301,0)),"Policy # not found"))</f>
        <v/>
      </c>
      <c r="G105" s="28" t="n"/>
    </row>
    <row r="106">
      <c r="A106" s="28" t="n"/>
      <c r="B106" s="28" t="n"/>
      <c r="C106" s="28" t="n"/>
      <c r="D106" s="28" t="n"/>
      <c r="E106" s="35" t="n"/>
      <c r="F106" s="34">
        <f>IF(A106="","",IFERROR(INDEX(Policies!$B$2:$B$301,MATCH(A106,Policies!$A$2:$A$301,0)),"Policy # not found"))</f>
        <v/>
      </c>
      <c r="G106" s="28" t="n"/>
    </row>
    <row r="107">
      <c r="A107" s="28" t="n"/>
      <c r="B107" s="28" t="n"/>
      <c r="C107" s="28" t="n"/>
      <c r="D107" s="28" t="n"/>
      <c r="E107" s="35" t="n"/>
      <c r="F107" s="34">
        <f>IF(A107="","",IFERROR(INDEX(Policies!$B$2:$B$301,MATCH(A107,Policies!$A$2:$A$301,0)),"Policy # not found"))</f>
        <v/>
      </c>
      <c r="G107" s="28" t="n"/>
    </row>
    <row r="108">
      <c r="A108" s="28" t="n"/>
      <c r="B108" s="28" t="n"/>
      <c r="C108" s="28" t="n"/>
      <c r="D108" s="28" t="n"/>
      <c r="E108" s="35" t="n"/>
      <c r="F108" s="34">
        <f>IF(A108="","",IFERROR(INDEX(Policies!$B$2:$B$301,MATCH(A108,Policies!$A$2:$A$301,0)),"Policy # not found"))</f>
        <v/>
      </c>
      <c r="G108" s="28" t="n"/>
    </row>
    <row r="109">
      <c r="A109" s="28" t="n"/>
      <c r="B109" s="28" t="n"/>
      <c r="C109" s="28" t="n"/>
      <c r="D109" s="28" t="n"/>
      <c r="E109" s="35" t="n"/>
      <c r="F109" s="34">
        <f>IF(A109="","",IFERROR(INDEX(Policies!$B$2:$B$301,MATCH(A109,Policies!$A$2:$A$301,0)),"Policy # not found"))</f>
        <v/>
      </c>
      <c r="G109" s="28" t="n"/>
    </row>
    <row r="110">
      <c r="A110" s="28" t="n"/>
      <c r="B110" s="28" t="n"/>
      <c r="C110" s="28" t="n"/>
      <c r="D110" s="28" t="n"/>
      <c r="E110" s="35" t="n"/>
      <c r="F110" s="34">
        <f>IF(A110="","",IFERROR(INDEX(Policies!$B$2:$B$301,MATCH(A110,Policies!$A$2:$A$301,0)),"Policy # not found"))</f>
        <v/>
      </c>
      <c r="G110" s="28" t="n"/>
    </row>
    <row r="111">
      <c r="A111" s="28" t="n"/>
      <c r="B111" s="28" t="n"/>
      <c r="C111" s="28" t="n"/>
      <c r="D111" s="28" t="n"/>
      <c r="E111" s="35" t="n"/>
      <c r="F111" s="34">
        <f>IF(A111="","",IFERROR(INDEX(Policies!$B$2:$B$301,MATCH(A111,Policies!$A$2:$A$301,0)),"Policy # not found"))</f>
        <v/>
      </c>
      <c r="G111" s="28" t="n"/>
    </row>
    <row r="112">
      <c r="A112" s="28" t="n"/>
      <c r="B112" s="28" t="n"/>
      <c r="C112" s="28" t="n"/>
      <c r="D112" s="28" t="n"/>
      <c r="E112" s="35" t="n"/>
      <c r="F112" s="34">
        <f>IF(A112="","",IFERROR(INDEX(Policies!$B$2:$B$301,MATCH(A112,Policies!$A$2:$A$301,0)),"Policy # not found"))</f>
        <v/>
      </c>
      <c r="G112" s="28" t="n"/>
    </row>
    <row r="113">
      <c r="A113" s="28" t="n"/>
      <c r="B113" s="28" t="n"/>
      <c r="C113" s="28" t="n"/>
      <c r="D113" s="28" t="n"/>
      <c r="E113" s="35" t="n"/>
      <c r="F113" s="34">
        <f>IF(A113="","",IFERROR(INDEX(Policies!$B$2:$B$301,MATCH(A113,Policies!$A$2:$A$301,0)),"Policy # not found"))</f>
        <v/>
      </c>
      <c r="G113" s="28" t="n"/>
    </row>
    <row r="114">
      <c r="A114" s="28" t="n"/>
      <c r="B114" s="28" t="n"/>
      <c r="C114" s="28" t="n"/>
      <c r="D114" s="28" t="n"/>
      <c r="E114" s="35" t="n"/>
      <c r="F114" s="34">
        <f>IF(A114="","",IFERROR(INDEX(Policies!$B$2:$B$301,MATCH(A114,Policies!$A$2:$A$301,0)),"Policy # not found"))</f>
        <v/>
      </c>
      <c r="G114" s="28" t="n"/>
    </row>
    <row r="115">
      <c r="A115" s="28" t="n"/>
      <c r="B115" s="28" t="n"/>
      <c r="C115" s="28" t="n"/>
      <c r="D115" s="28" t="n"/>
      <c r="E115" s="35" t="n"/>
      <c r="F115" s="34">
        <f>IF(A115="","",IFERROR(INDEX(Policies!$B$2:$B$301,MATCH(A115,Policies!$A$2:$A$301,0)),"Policy # not found"))</f>
        <v/>
      </c>
      <c r="G115" s="28" t="n"/>
    </row>
    <row r="116">
      <c r="A116" s="28" t="n"/>
      <c r="B116" s="28" t="n"/>
      <c r="C116" s="28" t="n"/>
      <c r="D116" s="28" t="n"/>
      <c r="E116" s="35" t="n"/>
      <c r="F116" s="34">
        <f>IF(A116="","",IFERROR(INDEX(Policies!$B$2:$B$301,MATCH(A116,Policies!$A$2:$A$301,0)),"Policy # not found"))</f>
        <v/>
      </c>
      <c r="G116" s="28" t="n"/>
    </row>
    <row r="117">
      <c r="A117" s="28" t="n"/>
      <c r="B117" s="28" t="n"/>
      <c r="C117" s="28" t="n"/>
      <c r="D117" s="28" t="n"/>
      <c r="E117" s="35" t="n"/>
      <c r="F117" s="34">
        <f>IF(A117="","",IFERROR(INDEX(Policies!$B$2:$B$301,MATCH(A117,Policies!$A$2:$A$301,0)),"Policy # not found"))</f>
        <v/>
      </c>
      <c r="G117" s="28" t="n"/>
    </row>
    <row r="118">
      <c r="A118" s="28" t="n"/>
      <c r="B118" s="28" t="n"/>
      <c r="C118" s="28" t="n"/>
      <c r="D118" s="28" t="n"/>
      <c r="E118" s="35" t="n"/>
      <c r="F118" s="34">
        <f>IF(A118="","",IFERROR(INDEX(Policies!$B$2:$B$301,MATCH(A118,Policies!$A$2:$A$301,0)),"Policy # not found"))</f>
        <v/>
      </c>
      <c r="G118" s="28" t="n"/>
    </row>
    <row r="119">
      <c r="A119" s="28" t="n"/>
      <c r="B119" s="28" t="n"/>
      <c r="C119" s="28" t="n"/>
      <c r="D119" s="28" t="n"/>
      <c r="E119" s="35" t="n"/>
      <c r="F119" s="34">
        <f>IF(A119="","",IFERROR(INDEX(Policies!$B$2:$B$301,MATCH(A119,Policies!$A$2:$A$301,0)),"Policy # not found"))</f>
        <v/>
      </c>
      <c r="G119" s="28" t="n"/>
    </row>
    <row r="120">
      <c r="A120" s="28" t="n"/>
      <c r="B120" s="28" t="n"/>
      <c r="C120" s="28" t="n"/>
      <c r="D120" s="28" t="n"/>
      <c r="E120" s="35" t="n"/>
      <c r="F120" s="34">
        <f>IF(A120="","",IFERROR(INDEX(Policies!$B$2:$B$301,MATCH(A120,Policies!$A$2:$A$301,0)),"Policy # not found"))</f>
        <v/>
      </c>
      <c r="G120" s="28" t="n"/>
    </row>
    <row r="121">
      <c r="A121" s="28" t="n"/>
      <c r="B121" s="28" t="n"/>
      <c r="C121" s="28" t="n"/>
      <c r="D121" s="28" t="n"/>
      <c r="E121" s="35" t="n"/>
      <c r="F121" s="34">
        <f>IF(A121="","",IFERROR(INDEX(Policies!$B$2:$B$301,MATCH(A121,Policies!$A$2:$A$301,0)),"Policy # not found"))</f>
        <v/>
      </c>
      <c r="G121" s="28" t="n"/>
    </row>
    <row r="122">
      <c r="A122" s="28" t="n"/>
      <c r="B122" s="28" t="n"/>
      <c r="C122" s="28" t="n"/>
      <c r="D122" s="28" t="n"/>
      <c r="E122" s="35" t="n"/>
      <c r="F122" s="34">
        <f>IF(A122="","",IFERROR(INDEX(Policies!$B$2:$B$301,MATCH(A122,Policies!$A$2:$A$301,0)),"Policy # not found"))</f>
        <v/>
      </c>
      <c r="G122" s="28" t="n"/>
    </row>
    <row r="123">
      <c r="A123" s="28" t="n"/>
      <c r="B123" s="28" t="n"/>
      <c r="C123" s="28" t="n"/>
      <c r="D123" s="28" t="n"/>
      <c r="E123" s="35" t="n"/>
      <c r="F123" s="34">
        <f>IF(A123="","",IFERROR(INDEX(Policies!$B$2:$B$301,MATCH(A123,Policies!$A$2:$A$301,0)),"Policy # not found"))</f>
        <v/>
      </c>
      <c r="G123" s="28" t="n"/>
    </row>
    <row r="124">
      <c r="A124" s="28" t="n"/>
      <c r="B124" s="28" t="n"/>
      <c r="C124" s="28" t="n"/>
      <c r="D124" s="28" t="n"/>
      <c r="E124" s="35" t="n"/>
      <c r="F124" s="34">
        <f>IF(A124="","",IFERROR(INDEX(Policies!$B$2:$B$301,MATCH(A124,Policies!$A$2:$A$301,0)),"Policy # not found"))</f>
        <v/>
      </c>
      <c r="G124" s="28" t="n"/>
    </row>
    <row r="125">
      <c r="A125" s="28" t="n"/>
      <c r="B125" s="28" t="n"/>
      <c r="C125" s="28" t="n"/>
      <c r="D125" s="28" t="n"/>
      <c r="E125" s="35" t="n"/>
      <c r="F125" s="34">
        <f>IF(A125="","",IFERROR(INDEX(Policies!$B$2:$B$301,MATCH(A125,Policies!$A$2:$A$301,0)),"Policy # not found"))</f>
        <v/>
      </c>
      <c r="G125" s="28" t="n"/>
    </row>
    <row r="126">
      <c r="A126" s="28" t="n"/>
      <c r="B126" s="28" t="n"/>
      <c r="C126" s="28" t="n"/>
      <c r="D126" s="28" t="n"/>
      <c r="E126" s="35" t="n"/>
      <c r="F126" s="34">
        <f>IF(A126="","",IFERROR(INDEX(Policies!$B$2:$B$301,MATCH(A126,Policies!$A$2:$A$301,0)),"Policy # not found"))</f>
        <v/>
      </c>
      <c r="G126" s="28" t="n"/>
    </row>
    <row r="127">
      <c r="A127" s="28" t="n"/>
      <c r="B127" s="28" t="n"/>
      <c r="C127" s="28" t="n"/>
      <c r="D127" s="28" t="n"/>
      <c r="E127" s="35" t="n"/>
      <c r="F127" s="34">
        <f>IF(A127="","",IFERROR(INDEX(Policies!$B$2:$B$301,MATCH(A127,Policies!$A$2:$A$301,0)),"Policy # not found"))</f>
        <v/>
      </c>
      <c r="G127" s="28" t="n"/>
    </row>
    <row r="128">
      <c r="A128" s="28" t="n"/>
      <c r="B128" s="28" t="n"/>
      <c r="C128" s="28" t="n"/>
      <c r="D128" s="28" t="n"/>
      <c r="E128" s="35" t="n"/>
      <c r="F128" s="34">
        <f>IF(A128="","",IFERROR(INDEX(Policies!$B$2:$B$301,MATCH(A128,Policies!$A$2:$A$301,0)),"Policy # not found"))</f>
        <v/>
      </c>
      <c r="G128" s="28" t="n"/>
    </row>
    <row r="129">
      <c r="A129" s="28" t="n"/>
      <c r="B129" s="28" t="n"/>
      <c r="C129" s="28" t="n"/>
      <c r="D129" s="28" t="n"/>
      <c r="E129" s="35" t="n"/>
      <c r="F129" s="34">
        <f>IF(A129="","",IFERROR(INDEX(Policies!$B$2:$B$301,MATCH(A129,Policies!$A$2:$A$301,0)),"Policy # not found"))</f>
        <v/>
      </c>
      <c r="G129" s="28" t="n"/>
    </row>
    <row r="130">
      <c r="A130" s="28" t="n"/>
      <c r="B130" s="28" t="n"/>
      <c r="C130" s="28" t="n"/>
      <c r="D130" s="28" t="n"/>
      <c r="E130" s="35" t="n"/>
      <c r="F130" s="34">
        <f>IF(A130="","",IFERROR(INDEX(Policies!$B$2:$B$301,MATCH(A130,Policies!$A$2:$A$301,0)),"Policy # not found"))</f>
        <v/>
      </c>
      <c r="G130" s="28" t="n"/>
    </row>
    <row r="131">
      <c r="A131" s="28" t="n"/>
      <c r="B131" s="28" t="n"/>
      <c r="C131" s="28" t="n"/>
      <c r="D131" s="28" t="n"/>
      <c r="E131" s="35" t="n"/>
      <c r="F131" s="34">
        <f>IF(A131="","",IFERROR(INDEX(Policies!$B$2:$B$301,MATCH(A131,Policies!$A$2:$A$301,0)),"Policy # not found"))</f>
        <v/>
      </c>
      <c r="G131" s="28" t="n"/>
    </row>
    <row r="132">
      <c r="A132" s="28" t="n"/>
      <c r="B132" s="28" t="n"/>
      <c r="C132" s="28" t="n"/>
      <c r="D132" s="28" t="n"/>
      <c r="E132" s="35" t="n"/>
      <c r="F132" s="34">
        <f>IF(A132="","",IFERROR(INDEX(Policies!$B$2:$B$301,MATCH(A132,Policies!$A$2:$A$301,0)),"Policy # not found"))</f>
        <v/>
      </c>
      <c r="G132" s="28" t="n"/>
    </row>
    <row r="133">
      <c r="A133" s="28" t="n"/>
      <c r="B133" s="28" t="n"/>
      <c r="C133" s="28" t="n"/>
      <c r="D133" s="28" t="n"/>
      <c r="E133" s="35" t="n"/>
      <c r="F133" s="34">
        <f>IF(A133="","",IFERROR(INDEX(Policies!$B$2:$B$301,MATCH(A133,Policies!$A$2:$A$301,0)),"Policy # not found"))</f>
        <v/>
      </c>
      <c r="G133" s="28" t="n"/>
    </row>
    <row r="134">
      <c r="A134" s="28" t="n"/>
      <c r="B134" s="28" t="n"/>
      <c r="C134" s="28" t="n"/>
      <c r="D134" s="28" t="n"/>
      <c r="E134" s="35" t="n"/>
      <c r="F134" s="34">
        <f>IF(A134="","",IFERROR(INDEX(Policies!$B$2:$B$301,MATCH(A134,Policies!$A$2:$A$301,0)),"Policy # not found"))</f>
        <v/>
      </c>
      <c r="G134" s="28" t="n"/>
    </row>
    <row r="135">
      <c r="A135" s="28" t="n"/>
      <c r="B135" s="28" t="n"/>
      <c r="C135" s="28" t="n"/>
      <c r="D135" s="28" t="n"/>
      <c r="E135" s="35" t="n"/>
      <c r="F135" s="34">
        <f>IF(A135="","",IFERROR(INDEX(Policies!$B$2:$B$301,MATCH(A135,Policies!$A$2:$A$301,0)),"Policy # not found"))</f>
        <v/>
      </c>
      <c r="G135" s="28" t="n"/>
    </row>
    <row r="136">
      <c r="A136" s="28" t="n"/>
      <c r="B136" s="28" t="n"/>
      <c r="C136" s="28" t="n"/>
      <c r="D136" s="28" t="n"/>
      <c r="E136" s="35" t="n"/>
      <c r="F136" s="34">
        <f>IF(A136="","",IFERROR(INDEX(Policies!$B$2:$B$301,MATCH(A136,Policies!$A$2:$A$301,0)),"Policy # not found"))</f>
        <v/>
      </c>
      <c r="G136" s="28" t="n"/>
    </row>
    <row r="137">
      <c r="A137" s="28" t="n"/>
      <c r="B137" s="28" t="n"/>
      <c r="C137" s="28" t="n"/>
      <c r="D137" s="28" t="n"/>
      <c r="E137" s="35" t="n"/>
      <c r="F137" s="34">
        <f>IF(A137="","",IFERROR(INDEX(Policies!$B$2:$B$301,MATCH(A137,Policies!$A$2:$A$301,0)),"Policy # not found"))</f>
        <v/>
      </c>
      <c r="G137" s="28" t="n"/>
    </row>
    <row r="138">
      <c r="A138" s="28" t="n"/>
      <c r="B138" s="28" t="n"/>
      <c r="C138" s="28" t="n"/>
      <c r="D138" s="28" t="n"/>
      <c r="E138" s="35" t="n"/>
      <c r="F138" s="34">
        <f>IF(A138="","",IFERROR(INDEX(Policies!$B$2:$B$301,MATCH(A138,Policies!$A$2:$A$301,0)),"Policy # not found"))</f>
        <v/>
      </c>
      <c r="G138" s="28" t="n"/>
    </row>
    <row r="139">
      <c r="A139" s="28" t="n"/>
      <c r="B139" s="28" t="n"/>
      <c r="C139" s="28" t="n"/>
      <c r="D139" s="28" t="n"/>
      <c r="E139" s="35" t="n"/>
      <c r="F139" s="34">
        <f>IF(A139="","",IFERROR(INDEX(Policies!$B$2:$B$301,MATCH(A139,Policies!$A$2:$A$301,0)),"Policy # not found"))</f>
        <v/>
      </c>
      <c r="G139" s="28" t="n"/>
    </row>
    <row r="140">
      <c r="A140" s="28" t="n"/>
      <c r="B140" s="28" t="n"/>
      <c r="C140" s="28" t="n"/>
      <c r="D140" s="28" t="n"/>
      <c r="E140" s="35" t="n"/>
      <c r="F140" s="34">
        <f>IF(A140="","",IFERROR(INDEX(Policies!$B$2:$B$301,MATCH(A140,Policies!$A$2:$A$301,0)),"Policy # not found"))</f>
        <v/>
      </c>
      <c r="G140" s="28" t="n"/>
    </row>
    <row r="141">
      <c r="A141" s="28" t="n"/>
      <c r="B141" s="28" t="n"/>
      <c r="C141" s="28" t="n"/>
      <c r="D141" s="28" t="n"/>
      <c r="E141" s="35" t="n"/>
      <c r="F141" s="34">
        <f>IF(A141="","",IFERROR(INDEX(Policies!$B$2:$B$301,MATCH(A141,Policies!$A$2:$A$301,0)),"Policy # not found"))</f>
        <v/>
      </c>
      <c r="G141" s="28" t="n"/>
    </row>
    <row r="142">
      <c r="A142" s="28" t="n"/>
      <c r="B142" s="28" t="n"/>
      <c r="C142" s="28" t="n"/>
      <c r="D142" s="28" t="n"/>
      <c r="E142" s="35" t="n"/>
      <c r="F142" s="34">
        <f>IF(A142="","",IFERROR(INDEX(Policies!$B$2:$B$301,MATCH(A142,Policies!$A$2:$A$301,0)),"Policy # not found"))</f>
        <v/>
      </c>
      <c r="G142" s="28" t="n"/>
    </row>
    <row r="143">
      <c r="A143" s="28" t="n"/>
      <c r="B143" s="28" t="n"/>
      <c r="C143" s="28" t="n"/>
      <c r="D143" s="28" t="n"/>
      <c r="E143" s="35" t="n"/>
      <c r="F143" s="34">
        <f>IF(A143="","",IFERROR(INDEX(Policies!$B$2:$B$301,MATCH(A143,Policies!$A$2:$A$301,0)),"Policy # not found"))</f>
        <v/>
      </c>
      <c r="G143" s="28" t="n"/>
    </row>
    <row r="144">
      <c r="A144" s="28" t="n"/>
      <c r="B144" s="28" t="n"/>
      <c r="C144" s="28" t="n"/>
      <c r="D144" s="28" t="n"/>
      <c r="E144" s="35" t="n"/>
      <c r="F144" s="34">
        <f>IF(A144="","",IFERROR(INDEX(Policies!$B$2:$B$301,MATCH(A144,Policies!$A$2:$A$301,0)),"Policy # not found"))</f>
        <v/>
      </c>
      <c r="G144" s="28" t="n"/>
    </row>
    <row r="145">
      <c r="A145" s="28" t="n"/>
      <c r="B145" s="28" t="n"/>
      <c r="C145" s="28" t="n"/>
      <c r="D145" s="28" t="n"/>
      <c r="E145" s="35" t="n"/>
      <c r="F145" s="34">
        <f>IF(A145="","",IFERROR(INDEX(Policies!$B$2:$B$301,MATCH(A145,Policies!$A$2:$A$301,0)),"Policy # not found"))</f>
        <v/>
      </c>
      <c r="G145" s="28" t="n"/>
    </row>
    <row r="146">
      <c r="A146" s="28" t="n"/>
      <c r="B146" s="28" t="n"/>
      <c r="C146" s="28" t="n"/>
      <c r="D146" s="28" t="n"/>
      <c r="E146" s="35" t="n"/>
      <c r="F146" s="34">
        <f>IF(A146="","",IFERROR(INDEX(Policies!$B$2:$B$301,MATCH(A146,Policies!$A$2:$A$301,0)),"Policy # not found"))</f>
        <v/>
      </c>
      <c r="G146" s="28" t="n"/>
    </row>
    <row r="147">
      <c r="A147" s="28" t="n"/>
      <c r="B147" s="28" t="n"/>
      <c r="C147" s="28" t="n"/>
      <c r="D147" s="28" t="n"/>
      <c r="E147" s="35" t="n"/>
      <c r="F147" s="34">
        <f>IF(A147="","",IFERROR(INDEX(Policies!$B$2:$B$301,MATCH(A147,Policies!$A$2:$A$301,0)),"Policy # not found"))</f>
        <v/>
      </c>
      <c r="G147" s="28" t="n"/>
    </row>
    <row r="148">
      <c r="A148" s="28" t="n"/>
      <c r="B148" s="28" t="n"/>
      <c r="C148" s="28" t="n"/>
      <c r="D148" s="28" t="n"/>
      <c r="E148" s="35" t="n"/>
      <c r="F148" s="34">
        <f>IF(A148="","",IFERROR(INDEX(Policies!$B$2:$B$301,MATCH(A148,Policies!$A$2:$A$301,0)),"Policy # not found"))</f>
        <v/>
      </c>
      <c r="G148" s="28" t="n"/>
    </row>
    <row r="149">
      <c r="A149" s="28" t="n"/>
      <c r="B149" s="28" t="n"/>
      <c r="C149" s="28" t="n"/>
      <c r="D149" s="28" t="n"/>
      <c r="E149" s="35" t="n"/>
      <c r="F149" s="34">
        <f>IF(A149="","",IFERROR(INDEX(Policies!$B$2:$B$301,MATCH(A149,Policies!$A$2:$A$301,0)),"Policy # not found"))</f>
        <v/>
      </c>
      <c r="G149" s="28" t="n"/>
    </row>
    <row r="150">
      <c r="A150" s="28" t="n"/>
      <c r="B150" s="28" t="n"/>
      <c r="C150" s="28" t="n"/>
      <c r="D150" s="28" t="n"/>
      <c r="E150" s="35" t="n"/>
      <c r="F150" s="34">
        <f>IF(A150="","",IFERROR(INDEX(Policies!$B$2:$B$301,MATCH(A150,Policies!$A$2:$A$301,0)),"Policy # not found"))</f>
        <v/>
      </c>
      <c r="G150" s="28" t="n"/>
    </row>
    <row r="151">
      <c r="A151" s="28" t="n"/>
      <c r="B151" s="28" t="n"/>
      <c r="C151" s="28" t="n"/>
      <c r="D151" s="28" t="n"/>
      <c r="E151" s="35" t="n"/>
      <c r="F151" s="34">
        <f>IF(A151="","",IFERROR(INDEX(Policies!$B$2:$B$301,MATCH(A151,Policies!$A$2:$A$301,0)),"Policy # not found"))</f>
        <v/>
      </c>
      <c r="G151" s="28" t="n"/>
    </row>
    <row r="152">
      <c r="A152" s="28" t="n"/>
      <c r="B152" s="28" t="n"/>
      <c r="C152" s="28" t="n"/>
      <c r="D152" s="28" t="n"/>
      <c r="E152" s="35" t="n"/>
      <c r="F152" s="34">
        <f>IF(A152="","",IFERROR(INDEX(Policies!$B$2:$B$301,MATCH(A152,Policies!$A$2:$A$301,0)),"Policy # not found"))</f>
        <v/>
      </c>
      <c r="G152" s="28" t="n"/>
    </row>
    <row r="153">
      <c r="A153" s="28" t="n"/>
      <c r="B153" s="28" t="n"/>
      <c r="C153" s="28" t="n"/>
      <c r="D153" s="28" t="n"/>
      <c r="E153" s="35" t="n"/>
      <c r="F153" s="34">
        <f>IF(A153="","",IFERROR(INDEX(Policies!$B$2:$B$301,MATCH(A153,Policies!$A$2:$A$301,0)),"Policy # not found"))</f>
        <v/>
      </c>
      <c r="G153" s="28" t="n"/>
    </row>
    <row r="154">
      <c r="A154" s="28" t="n"/>
      <c r="B154" s="28" t="n"/>
      <c r="C154" s="28" t="n"/>
      <c r="D154" s="28" t="n"/>
      <c r="E154" s="35" t="n"/>
      <c r="F154" s="34">
        <f>IF(A154="","",IFERROR(INDEX(Policies!$B$2:$B$301,MATCH(A154,Policies!$A$2:$A$301,0)),"Policy # not found"))</f>
        <v/>
      </c>
      <c r="G154" s="28" t="n"/>
    </row>
    <row r="155">
      <c r="A155" s="28" t="n"/>
      <c r="B155" s="28" t="n"/>
      <c r="C155" s="28" t="n"/>
      <c r="D155" s="28" t="n"/>
      <c r="E155" s="35" t="n"/>
      <c r="F155" s="34">
        <f>IF(A155="","",IFERROR(INDEX(Policies!$B$2:$B$301,MATCH(A155,Policies!$A$2:$A$301,0)),"Policy # not found"))</f>
        <v/>
      </c>
      <c r="G155" s="28" t="n"/>
    </row>
    <row r="156">
      <c r="A156" s="28" t="n"/>
      <c r="B156" s="28" t="n"/>
      <c r="C156" s="28" t="n"/>
      <c r="D156" s="28" t="n"/>
      <c r="E156" s="35" t="n"/>
      <c r="F156" s="34">
        <f>IF(A156="","",IFERROR(INDEX(Policies!$B$2:$B$301,MATCH(A156,Policies!$A$2:$A$301,0)),"Policy # not found"))</f>
        <v/>
      </c>
      <c r="G156" s="28" t="n"/>
    </row>
    <row r="157">
      <c r="A157" s="28" t="n"/>
      <c r="B157" s="28" t="n"/>
      <c r="C157" s="28" t="n"/>
      <c r="D157" s="28" t="n"/>
      <c r="E157" s="35" t="n"/>
      <c r="F157" s="34">
        <f>IF(A157="","",IFERROR(INDEX(Policies!$B$2:$B$301,MATCH(A157,Policies!$A$2:$A$301,0)),"Policy # not found"))</f>
        <v/>
      </c>
      <c r="G157" s="28" t="n"/>
    </row>
    <row r="158">
      <c r="A158" s="28" t="n"/>
      <c r="B158" s="28" t="n"/>
      <c r="C158" s="28" t="n"/>
      <c r="D158" s="28" t="n"/>
      <c r="E158" s="35" t="n"/>
      <c r="F158" s="34">
        <f>IF(A158="","",IFERROR(INDEX(Policies!$B$2:$B$301,MATCH(A158,Policies!$A$2:$A$301,0)),"Policy # not found"))</f>
        <v/>
      </c>
      <c r="G158" s="28" t="n"/>
    </row>
    <row r="159">
      <c r="A159" s="28" t="n"/>
      <c r="B159" s="28" t="n"/>
      <c r="C159" s="28" t="n"/>
      <c r="D159" s="28" t="n"/>
      <c r="E159" s="35" t="n"/>
      <c r="F159" s="34">
        <f>IF(A159="","",IFERROR(INDEX(Policies!$B$2:$B$301,MATCH(A159,Policies!$A$2:$A$301,0)),"Policy # not found"))</f>
        <v/>
      </c>
      <c r="G159" s="28" t="n"/>
    </row>
    <row r="160">
      <c r="A160" s="28" t="n"/>
      <c r="B160" s="28" t="n"/>
      <c r="C160" s="28" t="n"/>
      <c r="D160" s="28" t="n"/>
      <c r="E160" s="35" t="n"/>
      <c r="F160" s="34">
        <f>IF(A160="","",IFERROR(INDEX(Policies!$B$2:$B$301,MATCH(A160,Policies!$A$2:$A$301,0)),"Policy # not found"))</f>
        <v/>
      </c>
      <c r="G160" s="28" t="n"/>
    </row>
    <row r="161">
      <c r="A161" s="28" t="n"/>
      <c r="B161" s="28" t="n"/>
      <c r="C161" s="28" t="n"/>
      <c r="D161" s="28" t="n"/>
      <c r="E161" s="35" t="n"/>
      <c r="F161" s="34">
        <f>IF(A161="","",IFERROR(INDEX(Policies!$B$2:$B$301,MATCH(A161,Policies!$A$2:$A$301,0)),"Policy # not found"))</f>
        <v/>
      </c>
      <c r="G161" s="28" t="n"/>
    </row>
    <row r="162">
      <c r="A162" s="28" t="n"/>
      <c r="B162" s="28" t="n"/>
      <c r="C162" s="28" t="n"/>
      <c r="D162" s="28" t="n"/>
      <c r="E162" s="35" t="n"/>
      <c r="F162" s="34">
        <f>IF(A162="","",IFERROR(INDEX(Policies!$B$2:$B$301,MATCH(A162,Policies!$A$2:$A$301,0)),"Policy # not found"))</f>
        <v/>
      </c>
      <c r="G162" s="28" t="n"/>
    </row>
    <row r="163">
      <c r="A163" s="28" t="n"/>
      <c r="B163" s="28" t="n"/>
      <c r="C163" s="28" t="n"/>
      <c r="D163" s="28" t="n"/>
      <c r="E163" s="35" t="n"/>
      <c r="F163" s="34">
        <f>IF(A163="","",IFERROR(INDEX(Policies!$B$2:$B$301,MATCH(A163,Policies!$A$2:$A$301,0)),"Policy # not found"))</f>
        <v/>
      </c>
      <c r="G163" s="28" t="n"/>
    </row>
    <row r="164">
      <c r="A164" s="28" t="n"/>
      <c r="B164" s="28" t="n"/>
      <c r="C164" s="28" t="n"/>
      <c r="D164" s="28" t="n"/>
      <c r="E164" s="35" t="n"/>
      <c r="F164" s="34">
        <f>IF(A164="","",IFERROR(INDEX(Policies!$B$2:$B$301,MATCH(A164,Policies!$A$2:$A$301,0)),"Policy # not found"))</f>
        <v/>
      </c>
      <c r="G164" s="28" t="n"/>
    </row>
    <row r="165">
      <c r="A165" s="28" t="n"/>
      <c r="B165" s="28" t="n"/>
      <c r="C165" s="28" t="n"/>
      <c r="D165" s="28" t="n"/>
      <c r="E165" s="35" t="n"/>
      <c r="F165" s="34">
        <f>IF(A165="","",IFERROR(INDEX(Policies!$B$2:$B$301,MATCH(A165,Policies!$A$2:$A$301,0)),"Policy # not found"))</f>
        <v/>
      </c>
      <c r="G165" s="28" t="n"/>
    </row>
    <row r="166">
      <c r="A166" s="28" t="n"/>
      <c r="B166" s="28" t="n"/>
      <c r="C166" s="28" t="n"/>
      <c r="D166" s="28" t="n"/>
      <c r="E166" s="35" t="n"/>
      <c r="F166" s="34">
        <f>IF(A166="","",IFERROR(INDEX(Policies!$B$2:$B$301,MATCH(A166,Policies!$A$2:$A$301,0)),"Policy # not found"))</f>
        <v/>
      </c>
      <c r="G166" s="28" t="n"/>
    </row>
    <row r="167">
      <c r="A167" s="28" t="n"/>
      <c r="B167" s="28" t="n"/>
      <c r="C167" s="28" t="n"/>
      <c r="D167" s="28" t="n"/>
      <c r="E167" s="35" t="n"/>
      <c r="F167" s="34">
        <f>IF(A167="","",IFERROR(INDEX(Policies!$B$2:$B$301,MATCH(A167,Policies!$A$2:$A$301,0)),"Policy # not found"))</f>
        <v/>
      </c>
      <c r="G167" s="28" t="n"/>
    </row>
    <row r="168">
      <c r="A168" s="28" t="n"/>
      <c r="B168" s="28" t="n"/>
      <c r="C168" s="28" t="n"/>
      <c r="D168" s="28" t="n"/>
      <c r="E168" s="35" t="n"/>
      <c r="F168" s="34">
        <f>IF(A168="","",IFERROR(INDEX(Policies!$B$2:$B$301,MATCH(A168,Policies!$A$2:$A$301,0)),"Policy # not found"))</f>
        <v/>
      </c>
      <c r="G168" s="28" t="n"/>
    </row>
    <row r="169">
      <c r="A169" s="28" t="n"/>
      <c r="B169" s="28" t="n"/>
      <c r="C169" s="28" t="n"/>
      <c r="D169" s="28" t="n"/>
      <c r="E169" s="35" t="n"/>
      <c r="F169" s="34">
        <f>IF(A169="","",IFERROR(INDEX(Policies!$B$2:$B$301,MATCH(A169,Policies!$A$2:$A$301,0)),"Policy # not found"))</f>
        <v/>
      </c>
      <c r="G169" s="28" t="n"/>
    </row>
    <row r="170">
      <c r="A170" s="28" t="n"/>
      <c r="B170" s="28" t="n"/>
      <c r="C170" s="28" t="n"/>
      <c r="D170" s="28" t="n"/>
      <c r="E170" s="35" t="n"/>
      <c r="F170" s="34">
        <f>IF(A170="","",IFERROR(INDEX(Policies!$B$2:$B$301,MATCH(A170,Policies!$A$2:$A$301,0)),"Policy # not found"))</f>
        <v/>
      </c>
      <c r="G170" s="28" t="n"/>
    </row>
    <row r="171">
      <c r="A171" s="28" t="n"/>
      <c r="B171" s="28" t="n"/>
      <c r="C171" s="28" t="n"/>
      <c r="D171" s="28" t="n"/>
      <c r="E171" s="35" t="n"/>
      <c r="F171" s="34">
        <f>IF(A171="","",IFERROR(INDEX(Policies!$B$2:$B$301,MATCH(A171,Policies!$A$2:$A$301,0)),"Policy # not found"))</f>
        <v/>
      </c>
      <c r="G171" s="28" t="n"/>
    </row>
    <row r="172">
      <c r="A172" s="28" t="n"/>
      <c r="B172" s="28" t="n"/>
      <c r="C172" s="28" t="n"/>
      <c r="D172" s="28" t="n"/>
      <c r="E172" s="35" t="n"/>
      <c r="F172" s="34">
        <f>IF(A172="","",IFERROR(INDEX(Policies!$B$2:$B$301,MATCH(A172,Policies!$A$2:$A$301,0)),"Policy # not found"))</f>
        <v/>
      </c>
      <c r="G172" s="28" t="n"/>
    </row>
    <row r="173">
      <c r="A173" s="28" t="n"/>
      <c r="B173" s="28" t="n"/>
      <c r="C173" s="28" t="n"/>
      <c r="D173" s="28" t="n"/>
      <c r="E173" s="35" t="n"/>
      <c r="F173" s="34">
        <f>IF(A173="","",IFERROR(INDEX(Policies!$B$2:$B$301,MATCH(A173,Policies!$A$2:$A$301,0)),"Policy # not found"))</f>
        <v/>
      </c>
      <c r="G173" s="28" t="n"/>
    </row>
    <row r="174">
      <c r="A174" s="28" t="n"/>
      <c r="B174" s="28" t="n"/>
      <c r="C174" s="28" t="n"/>
      <c r="D174" s="28" t="n"/>
      <c r="E174" s="35" t="n"/>
      <c r="F174" s="34">
        <f>IF(A174="","",IFERROR(INDEX(Policies!$B$2:$B$301,MATCH(A174,Policies!$A$2:$A$301,0)),"Policy # not found"))</f>
        <v/>
      </c>
      <c r="G174" s="28" t="n"/>
    </row>
    <row r="175">
      <c r="A175" s="28" t="n"/>
      <c r="B175" s="28" t="n"/>
      <c r="C175" s="28" t="n"/>
      <c r="D175" s="28" t="n"/>
      <c r="E175" s="35" t="n"/>
      <c r="F175" s="34">
        <f>IF(A175="","",IFERROR(INDEX(Policies!$B$2:$B$301,MATCH(A175,Policies!$A$2:$A$301,0)),"Policy # not found"))</f>
        <v/>
      </c>
      <c r="G175" s="28" t="n"/>
    </row>
    <row r="176">
      <c r="A176" s="28" t="n"/>
      <c r="B176" s="28" t="n"/>
      <c r="C176" s="28" t="n"/>
      <c r="D176" s="28" t="n"/>
      <c r="E176" s="35" t="n"/>
      <c r="F176" s="34">
        <f>IF(A176="","",IFERROR(INDEX(Policies!$B$2:$B$301,MATCH(A176,Policies!$A$2:$A$301,0)),"Policy # not found"))</f>
        <v/>
      </c>
      <c r="G176" s="28" t="n"/>
    </row>
    <row r="177">
      <c r="A177" s="28" t="n"/>
      <c r="B177" s="28" t="n"/>
      <c r="C177" s="28" t="n"/>
      <c r="D177" s="28" t="n"/>
      <c r="E177" s="35" t="n"/>
      <c r="F177" s="34">
        <f>IF(A177="","",IFERROR(INDEX(Policies!$B$2:$B$301,MATCH(A177,Policies!$A$2:$A$301,0)),"Policy # not found"))</f>
        <v/>
      </c>
      <c r="G177" s="28" t="n"/>
    </row>
    <row r="178">
      <c r="A178" s="28" t="n"/>
      <c r="B178" s="28" t="n"/>
      <c r="C178" s="28" t="n"/>
      <c r="D178" s="28" t="n"/>
      <c r="E178" s="35" t="n"/>
      <c r="F178" s="34">
        <f>IF(A178="","",IFERROR(INDEX(Policies!$B$2:$B$301,MATCH(A178,Policies!$A$2:$A$301,0)),"Policy # not found"))</f>
        <v/>
      </c>
      <c r="G178" s="28" t="n"/>
    </row>
    <row r="179">
      <c r="A179" s="28" t="n"/>
      <c r="B179" s="28" t="n"/>
      <c r="C179" s="28" t="n"/>
      <c r="D179" s="28" t="n"/>
      <c r="E179" s="35" t="n"/>
      <c r="F179" s="34">
        <f>IF(A179="","",IFERROR(INDEX(Policies!$B$2:$B$301,MATCH(A179,Policies!$A$2:$A$301,0)),"Policy # not found"))</f>
        <v/>
      </c>
      <c r="G179" s="28" t="n"/>
    </row>
    <row r="180">
      <c r="A180" s="28" t="n"/>
      <c r="B180" s="28" t="n"/>
      <c r="C180" s="28" t="n"/>
      <c r="D180" s="28" t="n"/>
      <c r="E180" s="35" t="n"/>
      <c r="F180" s="34">
        <f>IF(A180="","",IFERROR(INDEX(Policies!$B$2:$B$301,MATCH(A180,Policies!$A$2:$A$301,0)),"Policy # not found"))</f>
        <v/>
      </c>
      <c r="G180" s="28" t="n"/>
    </row>
    <row r="181">
      <c r="A181" s="28" t="n"/>
      <c r="B181" s="28" t="n"/>
      <c r="C181" s="28" t="n"/>
      <c r="D181" s="28" t="n"/>
      <c r="E181" s="35" t="n"/>
      <c r="F181" s="34">
        <f>IF(A181="","",IFERROR(INDEX(Policies!$B$2:$B$301,MATCH(A181,Policies!$A$2:$A$301,0)),"Policy # not found"))</f>
        <v/>
      </c>
      <c r="G181" s="28" t="n"/>
    </row>
    <row r="182">
      <c r="A182" s="28" t="n"/>
      <c r="B182" s="28" t="n"/>
      <c r="C182" s="28" t="n"/>
      <c r="D182" s="28" t="n"/>
      <c r="E182" s="35" t="n"/>
      <c r="F182" s="34">
        <f>IF(A182="","",IFERROR(INDEX(Policies!$B$2:$B$301,MATCH(A182,Policies!$A$2:$A$301,0)),"Policy # not found"))</f>
        <v/>
      </c>
      <c r="G182" s="28" t="n"/>
    </row>
    <row r="183">
      <c r="A183" s="28" t="n"/>
      <c r="B183" s="28" t="n"/>
      <c r="C183" s="28" t="n"/>
      <c r="D183" s="28" t="n"/>
      <c r="E183" s="35" t="n"/>
      <c r="F183" s="34">
        <f>IF(A183="","",IFERROR(INDEX(Policies!$B$2:$B$301,MATCH(A183,Policies!$A$2:$A$301,0)),"Policy # not found"))</f>
        <v/>
      </c>
      <c r="G183" s="28" t="n"/>
    </row>
    <row r="184">
      <c r="A184" s="28" t="n"/>
      <c r="B184" s="28" t="n"/>
      <c r="C184" s="28" t="n"/>
      <c r="D184" s="28" t="n"/>
      <c r="E184" s="35" t="n"/>
      <c r="F184" s="34">
        <f>IF(A184="","",IFERROR(INDEX(Policies!$B$2:$B$301,MATCH(A184,Policies!$A$2:$A$301,0)),"Policy # not found"))</f>
        <v/>
      </c>
      <c r="G184" s="28" t="n"/>
    </row>
    <row r="185">
      <c r="A185" s="28" t="n"/>
      <c r="B185" s="28" t="n"/>
      <c r="C185" s="28" t="n"/>
      <c r="D185" s="28" t="n"/>
      <c r="E185" s="35" t="n"/>
      <c r="F185" s="34">
        <f>IF(A185="","",IFERROR(INDEX(Policies!$B$2:$B$301,MATCH(A185,Policies!$A$2:$A$301,0)),"Policy # not found"))</f>
        <v/>
      </c>
      <c r="G185" s="28" t="n"/>
    </row>
    <row r="186">
      <c r="A186" s="28" t="n"/>
      <c r="B186" s="28" t="n"/>
      <c r="C186" s="28" t="n"/>
      <c r="D186" s="28" t="n"/>
      <c r="E186" s="35" t="n"/>
      <c r="F186" s="34">
        <f>IF(A186="","",IFERROR(INDEX(Policies!$B$2:$B$301,MATCH(A186,Policies!$A$2:$A$301,0)),"Policy # not found"))</f>
        <v/>
      </c>
      <c r="G186" s="28" t="n"/>
    </row>
    <row r="187">
      <c r="A187" s="28" t="n"/>
      <c r="B187" s="28" t="n"/>
      <c r="C187" s="28" t="n"/>
      <c r="D187" s="28" t="n"/>
      <c r="E187" s="35" t="n"/>
      <c r="F187" s="34">
        <f>IF(A187="","",IFERROR(INDEX(Policies!$B$2:$B$301,MATCH(A187,Policies!$A$2:$A$301,0)),"Policy # not found"))</f>
        <v/>
      </c>
      <c r="G187" s="28" t="n"/>
    </row>
    <row r="188">
      <c r="A188" s="28" t="n"/>
      <c r="B188" s="28" t="n"/>
      <c r="C188" s="28" t="n"/>
      <c r="D188" s="28" t="n"/>
      <c r="E188" s="35" t="n"/>
      <c r="F188" s="34">
        <f>IF(A188="","",IFERROR(INDEX(Policies!$B$2:$B$301,MATCH(A188,Policies!$A$2:$A$301,0)),"Policy # not found"))</f>
        <v/>
      </c>
      <c r="G188" s="28" t="n"/>
    </row>
    <row r="189">
      <c r="A189" s="28" t="n"/>
      <c r="B189" s="28" t="n"/>
      <c r="C189" s="28" t="n"/>
      <c r="D189" s="28" t="n"/>
      <c r="E189" s="35" t="n"/>
      <c r="F189" s="34">
        <f>IF(A189="","",IFERROR(INDEX(Policies!$B$2:$B$301,MATCH(A189,Policies!$A$2:$A$301,0)),"Policy # not found"))</f>
        <v/>
      </c>
      <c r="G189" s="28" t="n"/>
    </row>
    <row r="190">
      <c r="A190" s="28" t="n"/>
      <c r="B190" s="28" t="n"/>
      <c r="C190" s="28" t="n"/>
      <c r="D190" s="28" t="n"/>
      <c r="E190" s="35" t="n"/>
      <c r="F190" s="34">
        <f>IF(A190="","",IFERROR(INDEX(Policies!$B$2:$B$301,MATCH(A190,Policies!$A$2:$A$301,0)),"Policy # not found"))</f>
        <v/>
      </c>
      <c r="G190" s="28" t="n"/>
    </row>
    <row r="191">
      <c r="A191" s="28" t="n"/>
      <c r="B191" s="28" t="n"/>
      <c r="C191" s="28" t="n"/>
      <c r="D191" s="28" t="n"/>
      <c r="E191" s="35" t="n"/>
      <c r="F191" s="34">
        <f>IF(A191="","",IFERROR(INDEX(Policies!$B$2:$B$301,MATCH(A191,Policies!$A$2:$A$301,0)),"Policy # not found"))</f>
        <v/>
      </c>
      <c r="G191" s="28" t="n"/>
    </row>
    <row r="192">
      <c r="A192" s="28" t="n"/>
      <c r="B192" s="28" t="n"/>
      <c r="C192" s="28" t="n"/>
      <c r="D192" s="28" t="n"/>
      <c r="E192" s="35" t="n"/>
      <c r="F192" s="34">
        <f>IF(A192="","",IFERROR(INDEX(Policies!$B$2:$B$301,MATCH(A192,Policies!$A$2:$A$301,0)),"Policy # not found"))</f>
        <v/>
      </c>
      <c r="G192" s="28" t="n"/>
    </row>
    <row r="193">
      <c r="A193" s="28" t="n"/>
      <c r="B193" s="28" t="n"/>
      <c r="C193" s="28" t="n"/>
      <c r="D193" s="28" t="n"/>
      <c r="E193" s="35" t="n"/>
      <c r="F193" s="34">
        <f>IF(A193="","",IFERROR(INDEX(Policies!$B$2:$B$301,MATCH(A193,Policies!$A$2:$A$301,0)),"Policy # not found"))</f>
        <v/>
      </c>
      <c r="G193" s="28" t="n"/>
    </row>
    <row r="194">
      <c r="A194" s="28" t="n"/>
      <c r="B194" s="28" t="n"/>
      <c r="C194" s="28" t="n"/>
      <c r="D194" s="28" t="n"/>
      <c r="E194" s="35" t="n"/>
      <c r="F194" s="34">
        <f>IF(A194="","",IFERROR(INDEX(Policies!$B$2:$B$301,MATCH(A194,Policies!$A$2:$A$301,0)),"Policy # not found"))</f>
        <v/>
      </c>
      <c r="G194" s="28" t="n"/>
    </row>
    <row r="195">
      <c r="A195" s="28" t="n"/>
      <c r="B195" s="28" t="n"/>
      <c r="C195" s="28" t="n"/>
      <c r="D195" s="28" t="n"/>
      <c r="E195" s="35" t="n"/>
      <c r="F195" s="34">
        <f>IF(A195="","",IFERROR(INDEX(Policies!$B$2:$B$301,MATCH(A195,Policies!$A$2:$A$301,0)),"Policy # not found"))</f>
        <v/>
      </c>
      <c r="G195" s="28" t="n"/>
    </row>
    <row r="196">
      <c r="A196" s="28" t="n"/>
      <c r="B196" s="28" t="n"/>
      <c r="C196" s="28" t="n"/>
      <c r="D196" s="28" t="n"/>
      <c r="E196" s="35" t="n"/>
      <c r="F196" s="34">
        <f>IF(A196="","",IFERROR(INDEX(Policies!$B$2:$B$301,MATCH(A196,Policies!$A$2:$A$301,0)),"Policy # not found"))</f>
        <v/>
      </c>
      <c r="G196" s="28" t="n"/>
    </row>
    <row r="197">
      <c r="A197" s="28" t="n"/>
      <c r="B197" s="28" t="n"/>
      <c r="C197" s="28" t="n"/>
      <c r="D197" s="28" t="n"/>
      <c r="E197" s="35" t="n"/>
      <c r="F197" s="34">
        <f>IF(A197="","",IFERROR(INDEX(Policies!$B$2:$B$301,MATCH(A197,Policies!$A$2:$A$301,0)),"Policy # not found"))</f>
        <v/>
      </c>
      <c r="G197" s="28" t="n"/>
    </row>
    <row r="198">
      <c r="A198" s="28" t="n"/>
      <c r="B198" s="28" t="n"/>
      <c r="C198" s="28" t="n"/>
      <c r="D198" s="28" t="n"/>
      <c r="E198" s="35" t="n"/>
      <c r="F198" s="34">
        <f>IF(A198="","",IFERROR(INDEX(Policies!$B$2:$B$301,MATCH(A198,Policies!$A$2:$A$301,0)),"Policy # not found"))</f>
        <v/>
      </c>
      <c r="G198" s="28" t="n"/>
    </row>
    <row r="199">
      <c r="A199" s="28" t="n"/>
      <c r="B199" s="28" t="n"/>
      <c r="C199" s="28" t="n"/>
      <c r="D199" s="28" t="n"/>
      <c r="E199" s="35" t="n"/>
      <c r="F199" s="34">
        <f>IF(A199="","",IFERROR(INDEX(Policies!$B$2:$B$301,MATCH(A199,Policies!$A$2:$A$301,0)),"Policy # not found"))</f>
        <v/>
      </c>
      <c r="G199" s="28" t="n"/>
    </row>
    <row r="200">
      <c r="A200" s="28" t="n"/>
      <c r="B200" s="28" t="n"/>
      <c r="C200" s="28" t="n"/>
      <c r="D200" s="28" t="n"/>
      <c r="E200" s="35" t="n"/>
      <c r="F200" s="34">
        <f>IF(A200="","",IFERROR(INDEX(Policies!$B$2:$B$301,MATCH(A200,Policies!$A$2:$A$301,0)),"Policy # not found"))</f>
        <v/>
      </c>
      <c r="G200" s="28" t="n"/>
    </row>
    <row r="201">
      <c r="A201" s="28" t="n"/>
      <c r="B201" s="28" t="n"/>
      <c r="C201" s="28" t="n"/>
      <c r="D201" s="28" t="n"/>
      <c r="E201" s="35" t="n"/>
      <c r="F201" s="34">
        <f>IF(A201="","",IFERROR(INDEX(Policies!$B$2:$B$301,MATCH(A201,Policies!$A$2:$A$301,0)),"Policy # not found"))</f>
        <v/>
      </c>
      <c r="G201" s="28" t="n"/>
    </row>
    <row r="202">
      <c r="A202" s="28" t="n"/>
      <c r="B202" s="28" t="n"/>
      <c r="C202" s="28" t="n"/>
      <c r="D202" s="28" t="n"/>
      <c r="E202" s="35" t="n"/>
      <c r="F202" s="34">
        <f>IF(A202="","",IFERROR(INDEX(Policies!$B$2:$B$301,MATCH(A202,Policies!$A$2:$A$301,0)),"Policy # not found"))</f>
        <v/>
      </c>
      <c r="G202" s="28" t="n"/>
    </row>
    <row r="203">
      <c r="A203" s="28" t="n"/>
      <c r="B203" s="28" t="n"/>
      <c r="C203" s="28" t="n"/>
      <c r="D203" s="28" t="n"/>
      <c r="E203" s="35" t="n"/>
      <c r="F203" s="34">
        <f>IF(A203="","",IFERROR(INDEX(Policies!$B$2:$B$301,MATCH(A203,Policies!$A$2:$A$301,0)),"Policy # not found"))</f>
        <v/>
      </c>
      <c r="G203" s="28" t="n"/>
    </row>
    <row r="204">
      <c r="A204" s="28" t="n"/>
      <c r="B204" s="28" t="n"/>
      <c r="C204" s="28" t="n"/>
      <c r="D204" s="28" t="n"/>
      <c r="E204" s="35" t="n"/>
      <c r="F204" s="34">
        <f>IF(A204="","",IFERROR(INDEX(Policies!$B$2:$B$301,MATCH(A204,Policies!$A$2:$A$301,0)),"Policy # not found"))</f>
        <v/>
      </c>
      <c r="G204" s="28" t="n"/>
    </row>
    <row r="205">
      <c r="A205" s="28" t="n"/>
      <c r="B205" s="28" t="n"/>
      <c r="C205" s="28" t="n"/>
      <c r="D205" s="28" t="n"/>
      <c r="E205" s="35" t="n"/>
      <c r="F205" s="34">
        <f>IF(A205="","",IFERROR(INDEX(Policies!$B$2:$B$301,MATCH(A205,Policies!$A$2:$A$301,0)),"Policy # not found"))</f>
        <v/>
      </c>
      <c r="G205" s="28" t="n"/>
    </row>
    <row r="206">
      <c r="A206" s="28" t="n"/>
      <c r="B206" s="28" t="n"/>
      <c r="C206" s="28" t="n"/>
      <c r="D206" s="28" t="n"/>
      <c r="E206" s="35" t="n"/>
      <c r="F206" s="34">
        <f>IF(A206="","",IFERROR(INDEX(Policies!$B$2:$B$301,MATCH(A206,Policies!$A$2:$A$301,0)),"Policy # not found"))</f>
        <v/>
      </c>
      <c r="G206" s="28" t="n"/>
    </row>
    <row r="207">
      <c r="A207" s="28" t="n"/>
      <c r="B207" s="28" t="n"/>
      <c r="C207" s="28" t="n"/>
      <c r="D207" s="28" t="n"/>
      <c r="E207" s="35" t="n"/>
      <c r="F207" s="34">
        <f>IF(A207="","",IFERROR(INDEX(Policies!$B$2:$B$301,MATCH(A207,Policies!$A$2:$A$301,0)),"Policy # not found"))</f>
        <v/>
      </c>
      <c r="G207" s="28" t="n"/>
    </row>
    <row r="208">
      <c r="A208" s="28" t="n"/>
      <c r="B208" s="28" t="n"/>
      <c r="C208" s="28" t="n"/>
      <c r="D208" s="28" t="n"/>
      <c r="E208" s="35" t="n"/>
      <c r="F208" s="34">
        <f>IF(A208="","",IFERROR(INDEX(Policies!$B$2:$B$301,MATCH(A208,Policies!$A$2:$A$301,0)),"Policy # not found"))</f>
        <v/>
      </c>
      <c r="G208" s="28" t="n"/>
    </row>
    <row r="209">
      <c r="A209" s="28" t="n"/>
      <c r="B209" s="28" t="n"/>
      <c r="C209" s="28" t="n"/>
      <c r="D209" s="28" t="n"/>
      <c r="E209" s="35" t="n"/>
      <c r="F209" s="34">
        <f>IF(A209="","",IFERROR(INDEX(Policies!$B$2:$B$301,MATCH(A209,Policies!$A$2:$A$301,0)),"Policy # not found"))</f>
        <v/>
      </c>
      <c r="G209" s="28" t="n"/>
    </row>
    <row r="210">
      <c r="A210" s="28" t="n"/>
      <c r="B210" s="28" t="n"/>
      <c r="C210" s="28" t="n"/>
      <c r="D210" s="28" t="n"/>
      <c r="E210" s="35" t="n"/>
      <c r="F210" s="34">
        <f>IF(A210="","",IFERROR(INDEX(Policies!$B$2:$B$301,MATCH(A210,Policies!$A$2:$A$301,0)),"Policy # not found"))</f>
        <v/>
      </c>
      <c r="G210" s="28" t="n"/>
    </row>
    <row r="211">
      <c r="A211" s="28" t="n"/>
      <c r="B211" s="28" t="n"/>
      <c r="C211" s="28" t="n"/>
      <c r="D211" s="28" t="n"/>
      <c r="E211" s="35" t="n"/>
      <c r="F211" s="34">
        <f>IF(A211="","",IFERROR(INDEX(Policies!$B$2:$B$301,MATCH(A211,Policies!$A$2:$A$301,0)),"Policy # not found"))</f>
        <v/>
      </c>
      <c r="G211" s="28" t="n"/>
    </row>
    <row r="212">
      <c r="A212" s="28" t="n"/>
      <c r="B212" s="28" t="n"/>
      <c r="C212" s="28" t="n"/>
      <c r="D212" s="28" t="n"/>
      <c r="E212" s="35" t="n"/>
      <c r="F212" s="34">
        <f>IF(A212="","",IFERROR(INDEX(Policies!$B$2:$B$301,MATCH(A212,Policies!$A$2:$A$301,0)),"Policy # not found"))</f>
        <v/>
      </c>
      <c r="G212" s="28" t="n"/>
    </row>
    <row r="213">
      <c r="A213" s="28" t="n"/>
      <c r="B213" s="28" t="n"/>
      <c r="C213" s="28" t="n"/>
      <c r="D213" s="28" t="n"/>
      <c r="E213" s="35" t="n"/>
      <c r="F213" s="34">
        <f>IF(A213="","",IFERROR(INDEX(Policies!$B$2:$B$301,MATCH(A213,Policies!$A$2:$A$301,0)),"Policy # not found"))</f>
        <v/>
      </c>
      <c r="G213" s="28" t="n"/>
    </row>
    <row r="214">
      <c r="A214" s="28" t="n"/>
      <c r="B214" s="28" t="n"/>
      <c r="C214" s="28" t="n"/>
      <c r="D214" s="28" t="n"/>
      <c r="E214" s="35" t="n"/>
      <c r="F214" s="34">
        <f>IF(A214="","",IFERROR(INDEX(Policies!$B$2:$B$301,MATCH(A214,Policies!$A$2:$A$301,0)),"Policy # not found"))</f>
        <v/>
      </c>
      <c r="G214" s="28" t="n"/>
    </row>
    <row r="215">
      <c r="A215" s="28" t="n"/>
      <c r="B215" s="28" t="n"/>
      <c r="C215" s="28" t="n"/>
      <c r="D215" s="28" t="n"/>
      <c r="E215" s="35" t="n"/>
      <c r="F215" s="34">
        <f>IF(A215="","",IFERROR(INDEX(Policies!$B$2:$B$301,MATCH(A215,Policies!$A$2:$A$301,0)),"Policy # not found"))</f>
        <v/>
      </c>
      <c r="G215" s="28" t="n"/>
    </row>
    <row r="216">
      <c r="A216" s="28" t="n"/>
      <c r="B216" s="28" t="n"/>
      <c r="C216" s="28" t="n"/>
      <c r="D216" s="28" t="n"/>
      <c r="E216" s="35" t="n"/>
      <c r="F216" s="34">
        <f>IF(A216="","",IFERROR(INDEX(Policies!$B$2:$B$301,MATCH(A216,Policies!$A$2:$A$301,0)),"Policy # not found"))</f>
        <v/>
      </c>
      <c r="G216" s="28" t="n"/>
    </row>
    <row r="217">
      <c r="A217" s="28" t="n"/>
      <c r="B217" s="28" t="n"/>
      <c r="C217" s="28" t="n"/>
      <c r="D217" s="28" t="n"/>
      <c r="E217" s="35" t="n"/>
      <c r="F217" s="34">
        <f>IF(A217="","",IFERROR(INDEX(Policies!$B$2:$B$301,MATCH(A217,Policies!$A$2:$A$301,0)),"Policy # not found"))</f>
        <v/>
      </c>
      <c r="G217" s="28" t="n"/>
    </row>
    <row r="218">
      <c r="A218" s="28" t="n"/>
      <c r="B218" s="28" t="n"/>
      <c r="C218" s="28" t="n"/>
      <c r="D218" s="28" t="n"/>
      <c r="E218" s="35" t="n"/>
      <c r="F218" s="34">
        <f>IF(A218="","",IFERROR(INDEX(Policies!$B$2:$B$301,MATCH(A218,Policies!$A$2:$A$301,0)),"Policy # not found"))</f>
        <v/>
      </c>
      <c r="G218" s="28" t="n"/>
    </row>
    <row r="219">
      <c r="A219" s="28" t="n"/>
      <c r="B219" s="28" t="n"/>
      <c r="C219" s="28" t="n"/>
      <c r="D219" s="28" t="n"/>
      <c r="E219" s="35" t="n"/>
      <c r="F219" s="34">
        <f>IF(A219="","",IFERROR(INDEX(Policies!$B$2:$B$301,MATCH(A219,Policies!$A$2:$A$301,0)),"Policy # not found"))</f>
        <v/>
      </c>
      <c r="G219" s="28" t="n"/>
    </row>
    <row r="220">
      <c r="A220" s="28" t="n"/>
      <c r="B220" s="28" t="n"/>
      <c r="C220" s="28" t="n"/>
      <c r="D220" s="28" t="n"/>
      <c r="E220" s="35" t="n"/>
      <c r="F220" s="34">
        <f>IF(A220="","",IFERROR(INDEX(Policies!$B$2:$B$301,MATCH(A220,Policies!$A$2:$A$301,0)),"Policy # not found"))</f>
        <v/>
      </c>
      <c r="G220" s="28" t="n"/>
    </row>
    <row r="221">
      <c r="A221" s="28" t="n"/>
      <c r="B221" s="28" t="n"/>
      <c r="C221" s="28" t="n"/>
      <c r="D221" s="28" t="n"/>
      <c r="E221" s="35" t="n"/>
      <c r="F221" s="34">
        <f>IF(A221="","",IFERROR(INDEX(Policies!$B$2:$B$301,MATCH(A221,Policies!$A$2:$A$301,0)),"Policy # not found"))</f>
        <v/>
      </c>
      <c r="G221" s="28" t="n"/>
    </row>
    <row r="222">
      <c r="A222" s="28" t="n"/>
      <c r="B222" s="28" t="n"/>
      <c r="C222" s="28" t="n"/>
      <c r="D222" s="28" t="n"/>
      <c r="E222" s="35" t="n"/>
      <c r="F222" s="34">
        <f>IF(A222="","",IFERROR(INDEX(Policies!$B$2:$B$301,MATCH(A222,Policies!$A$2:$A$301,0)),"Policy # not found"))</f>
        <v/>
      </c>
      <c r="G222" s="28" t="n"/>
    </row>
    <row r="223">
      <c r="A223" s="28" t="n"/>
      <c r="B223" s="28" t="n"/>
      <c r="C223" s="28" t="n"/>
      <c r="D223" s="28" t="n"/>
      <c r="E223" s="35" t="n"/>
      <c r="F223" s="34">
        <f>IF(A223="","",IFERROR(INDEX(Policies!$B$2:$B$301,MATCH(A223,Policies!$A$2:$A$301,0)),"Policy # not found"))</f>
        <v/>
      </c>
      <c r="G223" s="28" t="n"/>
    </row>
    <row r="224">
      <c r="A224" s="28" t="n"/>
      <c r="B224" s="28" t="n"/>
      <c r="C224" s="28" t="n"/>
      <c r="D224" s="28" t="n"/>
      <c r="E224" s="35" t="n"/>
      <c r="F224" s="34">
        <f>IF(A224="","",IFERROR(INDEX(Policies!$B$2:$B$301,MATCH(A224,Policies!$A$2:$A$301,0)),"Policy # not found"))</f>
        <v/>
      </c>
      <c r="G224" s="28" t="n"/>
    </row>
    <row r="225">
      <c r="A225" s="28" t="n"/>
      <c r="B225" s="28" t="n"/>
      <c r="C225" s="28" t="n"/>
      <c r="D225" s="28" t="n"/>
      <c r="E225" s="35" t="n"/>
      <c r="F225" s="34">
        <f>IF(A225="","",IFERROR(INDEX(Policies!$B$2:$B$301,MATCH(A225,Policies!$A$2:$A$301,0)),"Policy # not found"))</f>
        <v/>
      </c>
      <c r="G225" s="28" t="n"/>
    </row>
    <row r="226">
      <c r="A226" s="28" t="n"/>
      <c r="B226" s="28" t="n"/>
      <c r="C226" s="28" t="n"/>
      <c r="D226" s="28" t="n"/>
      <c r="E226" s="35" t="n"/>
      <c r="F226" s="34">
        <f>IF(A226="","",IFERROR(INDEX(Policies!$B$2:$B$301,MATCH(A226,Policies!$A$2:$A$301,0)),"Policy # not found"))</f>
        <v/>
      </c>
      <c r="G226" s="28" t="n"/>
    </row>
    <row r="227">
      <c r="A227" s="28" t="n"/>
      <c r="B227" s="28" t="n"/>
      <c r="C227" s="28" t="n"/>
      <c r="D227" s="28" t="n"/>
      <c r="E227" s="35" t="n"/>
      <c r="F227" s="34">
        <f>IF(A227="","",IFERROR(INDEX(Policies!$B$2:$B$301,MATCH(A227,Policies!$A$2:$A$301,0)),"Policy # not found"))</f>
        <v/>
      </c>
      <c r="G227" s="28" t="n"/>
    </row>
    <row r="228">
      <c r="A228" s="28" t="n"/>
      <c r="B228" s="28" t="n"/>
      <c r="C228" s="28" t="n"/>
      <c r="D228" s="28" t="n"/>
      <c r="E228" s="35" t="n"/>
      <c r="F228" s="34">
        <f>IF(A228="","",IFERROR(INDEX(Policies!$B$2:$B$301,MATCH(A228,Policies!$A$2:$A$301,0)),"Policy # not found"))</f>
        <v/>
      </c>
      <c r="G228" s="28" t="n"/>
    </row>
    <row r="229">
      <c r="A229" s="28" t="n"/>
      <c r="B229" s="28" t="n"/>
      <c r="C229" s="28" t="n"/>
      <c r="D229" s="28" t="n"/>
      <c r="E229" s="35" t="n"/>
      <c r="F229" s="34">
        <f>IF(A229="","",IFERROR(INDEX(Policies!$B$2:$B$301,MATCH(A229,Policies!$A$2:$A$301,0)),"Policy # not found"))</f>
        <v/>
      </c>
      <c r="G229" s="28" t="n"/>
    </row>
    <row r="230">
      <c r="A230" s="28" t="n"/>
      <c r="B230" s="28" t="n"/>
      <c r="C230" s="28" t="n"/>
      <c r="D230" s="28" t="n"/>
      <c r="E230" s="35" t="n"/>
      <c r="F230" s="34">
        <f>IF(A230="","",IFERROR(INDEX(Policies!$B$2:$B$301,MATCH(A230,Policies!$A$2:$A$301,0)),"Policy # not found"))</f>
        <v/>
      </c>
      <c r="G230" s="28" t="n"/>
    </row>
    <row r="231">
      <c r="A231" s="28" t="n"/>
      <c r="B231" s="28" t="n"/>
      <c r="C231" s="28" t="n"/>
      <c r="D231" s="28" t="n"/>
      <c r="E231" s="35" t="n"/>
      <c r="F231" s="34">
        <f>IF(A231="","",IFERROR(INDEX(Policies!$B$2:$B$301,MATCH(A231,Policies!$A$2:$A$301,0)),"Policy # not found"))</f>
        <v/>
      </c>
      <c r="G231" s="28" t="n"/>
    </row>
    <row r="232">
      <c r="A232" s="28" t="n"/>
      <c r="B232" s="28" t="n"/>
      <c r="C232" s="28" t="n"/>
      <c r="D232" s="28" t="n"/>
      <c r="E232" s="35" t="n"/>
      <c r="F232" s="34">
        <f>IF(A232="","",IFERROR(INDEX(Policies!$B$2:$B$301,MATCH(A232,Policies!$A$2:$A$301,0)),"Policy # not found"))</f>
        <v/>
      </c>
      <c r="G232" s="28" t="n"/>
    </row>
    <row r="233">
      <c r="A233" s="28" t="n"/>
      <c r="B233" s="28" t="n"/>
      <c r="C233" s="28" t="n"/>
      <c r="D233" s="28" t="n"/>
      <c r="E233" s="35" t="n"/>
      <c r="F233" s="34">
        <f>IF(A233="","",IFERROR(INDEX(Policies!$B$2:$B$301,MATCH(A233,Policies!$A$2:$A$301,0)),"Policy # not found"))</f>
        <v/>
      </c>
      <c r="G233" s="28" t="n"/>
    </row>
    <row r="234">
      <c r="A234" s="28" t="n"/>
      <c r="B234" s="28" t="n"/>
      <c r="C234" s="28" t="n"/>
      <c r="D234" s="28" t="n"/>
      <c r="E234" s="35" t="n"/>
      <c r="F234" s="34">
        <f>IF(A234="","",IFERROR(INDEX(Policies!$B$2:$B$301,MATCH(A234,Policies!$A$2:$A$301,0)),"Policy # not found"))</f>
        <v/>
      </c>
      <c r="G234" s="28" t="n"/>
    </row>
    <row r="235">
      <c r="A235" s="28" t="n"/>
      <c r="B235" s="28" t="n"/>
      <c r="C235" s="28" t="n"/>
      <c r="D235" s="28" t="n"/>
      <c r="E235" s="35" t="n"/>
      <c r="F235" s="34">
        <f>IF(A235="","",IFERROR(INDEX(Policies!$B$2:$B$301,MATCH(A235,Policies!$A$2:$A$301,0)),"Policy # not found"))</f>
        <v/>
      </c>
      <c r="G235" s="28" t="n"/>
    </row>
    <row r="236">
      <c r="A236" s="28" t="n"/>
      <c r="B236" s="28" t="n"/>
      <c r="C236" s="28" t="n"/>
      <c r="D236" s="28" t="n"/>
      <c r="E236" s="35" t="n"/>
      <c r="F236" s="34">
        <f>IF(A236="","",IFERROR(INDEX(Policies!$B$2:$B$301,MATCH(A236,Policies!$A$2:$A$301,0)),"Policy # not found"))</f>
        <v/>
      </c>
      <c r="G236" s="28" t="n"/>
    </row>
    <row r="237">
      <c r="A237" s="28" t="n"/>
      <c r="B237" s="28" t="n"/>
      <c r="C237" s="28" t="n"/>
      <c r="D237" s="28" t="n"/>
      <c r="E237" s="35" t="n"/>
      <c r="F237" s="34">
        <f>IF(A237="","",IFERROR(INDEX(Policies!$B$2:$B$301,MATCH(A237,Policies!$A$2:$A$301,0)),"Policy # not found"))</f>
        <v/>
      </c>
      <c r="G237" s="28" t="n"/>
    </row>
    <row r="238">
      <c r="A238" s="28" t="n"/>
      <c r="B238" s="28" t="n"/>
      <c r="C238" s="28" t="n"/>
      <c r="D238" s="28" t="n"/>
      <c r="E238" s="35" t="n"/>
      <c r="F238" s="34">
        <f>IF(A238="","",IFERROR(INDEX(Policies!$B$2:$B$301,MATCH(A238,Policies!$A$2:$A$301,0)),"Policy # not found"))</f>
        <v/>
      </c>
      <c r="G238" s="28" t="n"/>
    </row>
    <row r="239">
      <c r="A239" s="28" t="n"/>
      <c r="B239" s="28" t="n"/>
      <c r="C239" s="28" t="n"/>
      <c r="D239" s="28" t="n"/>
      <c r="E239" s="35" t="n"/>
      <c r="F239" s="34">
        <f>IF(A239="","",IFERROR(INDEX(Policies!$B$2:$B$301,MATCH(A239,Policies!$A$2:$A$301,0)),"Policy # not found"))</f>
        <v/>
      </c>
      <c r="G239" s="28" t="n"/>
    </row>
    <row r="240">
      <c r="A240" s="28" t="n"/>
      <c r="B240" s="28" t="n"/>
      <c r="C240" s="28" t="n"/>
      <c r="D240" s="28" t="n"/>
      <c r="E240" s="35" t="n"/>
      <c r="F240" s="34">
        <f>IF(A240="","",IFERROR(INDEX(Policies!$B$2:$B$301,MATCH(A240,Policies!$A$2:$A$301,0)),"Policy # not found"))</f>
        <v/>
      </c>
      <c r="G240" s="28" t="n"/>
    </row>
    <row r="241">
      <c r="A241" s="28" t="n"/>
      <c r="B241" s="28" t="n"/>
      <c r="C241" s="28" t="n"/>
      <c r="D241" s="28" t="n"/>
      <c r="E241" s="35" t="n"/>
      <c r="F241" s="34">
        <f>IF(A241="","",IFERROR(INDEX(Policies!$B$2:$B$301,MATCH(A241,Policies!$A$2:$A$301,0)),"Policy # not found"))</f>
        <v/>
      </c>
      <c r="G241" s="28" t="n"/>
    </row>
    <row r="242">
      <c r="A242" s="28" t="n"/>
      <c r="B242" s="28" t="n"/>
      <c r="C242" s="28" t="n"/>
      <c r="D242" s="28" t="n"/>
      <c r="E242" s="35" t="n"/>
      <c r="F242" s="34">
        <f>IF(A242="","",IFERROR(INDEX(Policies!$B$2:$B$301,MATCH(A242,Policies!$A$2:$A$301,0)),"Policy # not found"))</f>
        <v/>
      </c>
      <c r="G242" s="28" t="n"/>
    </row>
    <row r="243">
      <c r="A243" s="28" t="n"/>
      <c r="B243" s="28" t="n"/>
      <c r="C243" s="28" t="n"/>
      <c r="D243" s="28" t="n"/>
      <c r="E243" s="35" t="n"/>
      <c r="F243" s="34">
        <f>IF(A243="","",IFERROR(INDEX(Policies!$B$2:$B$301,MATCH(A243,Policies!$A$2:$A$301,0)),"Policy # not found"))</f>
        <v/>
      </c>
      <c r="G243" s="28" t="n"/>
    </row>
    <row r="244">
      <c r="A244" s="28" t="n"/>
      <c r="B244" s="28" t="n"/>
      <c r="C244" s="28" t="n"/>
      <c r="D244" s="28" t="n"/>
      <c r="E244" s="35" t="n"/>
      <c r="F244" s="34">
        <f>IF(A244="","",IFERROR(INDEX(Policies!$B$2:$B$301,MATCH(A244,Policies!$A$2:$A$301,0)),"Policy # not found"))</f>
        <v/>
      </c>
      <c r="G244" s="28" t="n"/>
    </row>
    <row r="245">
      <c r="A245" s="28" t="n"/>
      <c r="B245" s="28" t="n"/>
      <c r="C245" s="28" t="n"/>
      <c r="D245" s="28" t="n"/>
      <c r="E245" s="35" t="n"/>
      <c r="F245" s="34">
        <f>IF(A245="","",IFERROR(INDEX(Policies!$B$2:$B$301,MATCH(A245,Policies!$A$2:$A$301,0)),"Policy # not found"))</f>
        <v/>
      </c>
      <c r="G245" s="28" t="n"/>
    </row>
    <row r="246">
      <c r="A246" s="28" t="n"/>
      <c r="B246" s="28" t="n"/>
      <c r="C246" s="28" t="n"/>
      <c r="D246" s="28" t="n"/>
      <c r="E246" s="35" t="n"/>
      <c r="F246" s="34">
        <f>IF(A246="","",IFERROR(INDEX(Policies!$B$2:$B$301,MATCH(A246,Policies!$A$2:$A$301,0)),"Policy # not found"))</f>
        <v/>
      </c>
      <c r="G246" s="28" t="n"/>
    </row>
    <row r="247">
      <c r="A247" s="28" t="n"/>
      <c r="B247" s="28" t="n"/>
      <c r="C247" s="28" t="n"/>
      <c r="D247" s="28" t="n"/>
      <c r="E247" s="35" t="n"/>
      <c r="F247" s="34">
        <f>IF(A247="","",IFERROR(INDEX(Policies!$B$2:$B$301,MATCH(A247,Policies!$A$2:$A$301,0)),"Policy # not found"))</f>
        <v/>
      </c>
      <c r="G247" s="28" t="n"/>
    </row>
    <row r="248">
      <c r="A248" s="28" t="n"/>
      <c r="B248" s="28" t="n"/>
      <c r="C248" s="28" t="n"/>
      <c r="D248" s="28" t="n"/>
      <c r="E248" s="35" t="n"/>
      <c r="F248" s="34">
        <f>IF(A248="","",IFERROR(INDEX(Policies!$B$2:$B$301,MATCH(A248,Policies!$A$2:$A$301,0)),"Policy # not found"))</f>
        <v/>
      </c>
      <c r="G248" s="28" t="n"/>
    </row>
    <row r="249">
      <c r="A249" s="28" t="n"/>
      <c r="B249" s="28" t="n"/>
      <c r="C249" s="28" t="n"/>
      <c r="D249" s="28" t="n"/>
      <c r="E249" s="35" t="n"/>
      <c r="F249" s="34">
        <f>IF(A249="","",IFERROR(INDEX(Policies!$B$2:$B$301,MATCH(A249,Policies!$A$2:$A$301,0)),"Policy # not found"))</f>
        <v/>
      </c>
      <c r="G249" s="28" t="n"/>
    </row>
    <row r="250">
      <c r="A250" s="28" t="n"/>
      <c r="B250" s="28" t="n"/>
      <c r="C250" s="28" t="n"/>
      <c r="D250" s="28" t="n"/>
      <c r="E250" s="35" t="n"/>
      <c r="F250" s="34">
        <f>IF(A250="","",IFERROR(INDEX(Policies!$B$2:$B$301,MATCH(A250,Policies!$A$2:$A$301,0)),"Policy # not found"))</f>
        <v/>
      </c>
      <c r="G250" s="28" t="n"/>
    </row>
    <row r="251">
      <c r="A251" s="28" t="n"/>
      <c r="B251" s="28" t="n"/>
      <c r="C251" s="28" t="n"/>
      <c r="D251" s="28" t="n"/>
      <c r="E251" s="35" t="n"/>
      <c r="F251" s="34">
        <f>IF(A251="","",IFERROR(INDEX(Policies!$B$2:$B$301,MATCH(A251,Policies!$A$2:$A$301,0)),"Policy # not found"))</f>
        <v/>
      </c>
      <c r="G251" s="28" t="n"/>
    </row>
    <row r="252">
      <c r="A252" s="28" t="n"/>
      <c r="B252" s="28" t="n"/>
      <c r="C252" s="28" t="n"/>
      <c r="D252" s="28" t="n"/>
      <c r="E252" s="35" t="n"/>
      <c r="F252" s="34">
        <f>IF(A252="","",IFERROR(INDEX(Policies!$B$2:$B$301,MATCH(A252,Policies!$A$2:$A$301,0)),"Policy # not found"))</f>
        <v/>
      </c>
      <c r="G252" s="28" t="n"/>
    </row>
    <row r="253">
      <c r="A253" s="28" t="n"/>
      <c r="B253" s="28" t="n"/>
      <c r="C253" s="28" t="n"/>
      <c r="D253" s="28" t="n"/>
      <c r="E253" s="35" t="n"/>
      <c r="F253" s="34">
        <f>IF(A253="","",IFERROR(INDEX(Policies!$B$2:$B$301,MATCH(A253,Policies!$A$2:$A$301,0)),"Policy # not found"))</f>
        <v/>
      </c>
      <c r="G253" s="28" t="n"/>
    </row>
    <row r="254">
      <c r="A254" s="28" t="n"/>
      <c r="B254" s="28" t="n"/>
      <c r="C254" s="28" t="n"/>
      <c r="D254" s="28" t="n"/>
      <c r="E254" s="35" t="n"/>
      <c r="F254" s="34">
        <f>IF(A254="","",IFERROR(INDEX(Policies!$B$2:$B$301,MATCH(A254,Policies!$A$2:$A$301,0)),"Policy # not found"))</f>
        <v/>
      </c>
      <c r="G254" s="28" t="n"/>
    </row>
    <row r="255">
      <c r="A255" s="28" t="n"/>
      <c r="B255" s="28" t="n"/>
      <c r="C255" s="28" t="n"/>
      <c r="D255" s="28" t="n"/>
      <c r="E255" s="35" t="n"/>
      <c r="F255" s="34">
        <f>IF(A255="","",IFERROR(INDEX(Policies!$B$2:$B$301,MATCH(A255,Policies!$A$2:$A$301,0)),"Policy # not found"))</f>
        <v/>
      </c>
      <c r="G255" s="28" t="n"/>
    </row>
    <row r="256">
      <c r="A256" s="28" t="n"/>
      <c r="B256" s="28" t="n"/>
      <c r="C256" s="28" t="n"/>
      <c r="D256" s="28" t="n"/>
      <c r="E256" s="35" t="n"/>
      <c r="F256" s="34">
        <f>IF(A256="","",IFERROR(INDEX(Policies!$B$2:$B$301,MATCH(A256,Policies!$A$2:$A$301,0)),"Policy # not found"))</f>
        <v/>
      </c>
      <c r="G256" s="28" t="n"/>
    </row>
    <row r="257">
      <c r="A257" s="28" t="n"/>
      <c r="B257" s="28" t="n"/>
      <c r="C257" s="28" t="n"/>
      <c r="D257" s="28" t="n"/>
      <c r="E257" s="35" t="n"/>
      <c r="F257" s="34">
        <f>IF(A257="","",IFERROR(INDEX(Policies!$B$2:$B$301,MATCH(A257,Policies!$A$2:$A$301,0)),"Policy # not found"))</f>
        <v/>
      </c>
      <c r="G257" s="28" t="n"/>
    </row>
    <row r="258">
      <c r="A258" s="28" t="n"/>
      <c r="B258" s="28" t="n"/>
      <c r="C258" s="28" t="n"/>
      <c r="D258" s="28" t="n"/>
      <c r="E258" s="35" t="n"/>
      <c r="F258" s="34">
        <f>IF(A258="","",IFERROR(INDEX(Policies!$B$2:$B$301,MATCH(A258,Policies!$A$2:$A$301,0)),"Policy # not found"))</f>
        <v/>
      </c>
      <c r="G258" s="28" t="n"/>
    </row>
    <row r="259">
      <c r="A259" s="28" t="n"/>
      <c r="B259" s="28" t="n"/>
      <c r="C259" s="28" t="n"/>
      <c r="D259" s="28" t="n"/>
      <c r="E259" s="35" t="n"/>
      <c r="F259" s="34">
        <f>IF(A259="","",IFERROR(INDEX(Policies!$B$2:$B$301,MATCH(A259,Policies!$A$2:$A$301,0)),"Policy # not found"))</f>
        <v/>
      </c>
      <c r="G259" s="28" t="n"/>
    </row>
    <row r="260">
      <c r="A260" s="28" t="n"/>
      <c r="B260" s="28" t="n"/>
      <c r="C260" s="28" t="n"/>
      <c r="D260" s="28" t="n"/>
      <c r="E260" s="35" t="n"/>
      <c r="F260" s="34">
        <f>IF(A260="","",IFERROR(INDEX(Policies!$B$2:$B$301,MATCH(A260,Policies!$A$2:$A$301,0)),"Policy # not found"))</f>
        <v/>
      </c>
      <c r="G260" s="28" t="n"/>
    </row>
    <row r="261">
      <c r="A261" s="28" t="n"/>
      <c r="B261" s="28" t="n"/>
      <c r="C261" s="28" t="n"/>
      <c r="D261" s="28" t="n"/>
      <c r="E261" s="35" t="n"/>
      <c r="F261" s="34">
        <f>IF(A261="","",IFERROR(INDEX(Policies!$B$2:$B$301,MATCH(A261,Policies!$A$2:$A$301,0)),"Policy # not found"))</f>
        <v/>
      </c>
      <c r="G261" s="28" t="n"/>
    </row>
    <row r="262">
      <c r="A262" s="28" t="n"/>
      <c r="B262" s="28" t="n"/>
      <c r="C262" s="28" t="n"/>
      <c r="D262" s="28" t="n"/>
      <c r="E262" s="35" t="n"/>
      <c r="F262" s="34">
        <f>IF(A262="","",IFERROR(INDEX(Policies!$B$2:$B$301,MATCH(A262,Policies!$A$2:$A$301,0)),"Policy # not found"))</f>
        <v/>
      </c>
      <c r="G262" s="28" t="n"/>
    </row>
    <row r="263">
      <c r="A263" s="28" t="n"/>
      <c r="B263" s="28" t="n"/>
      <c r="C263" s="28" t="n"/>
      <c r="D263" s="28" t="n"/>
      <c r="E263" s="35" t="n"/>
      <c r="F263" s="34">
        <f>IF(A263="","",IFERROR(INDEX(Policies!$B$2:$B$301,MATCH(A263,Policies!$A$2:$A$301,0)),"Policy # not found"))</f>
        <v/>
      </c>
      <c r="G263" s="28" t="n"/>
    </row>
    <row r="264">
      <c r="A264" s="28" t="n"/>
      <c r="B264" s="28" t="n"/>
      <c r="C264" s="28" t="n"/>
      <c r="D264" s="28" t="n"/>
      <c r="E264" s="35" t="n"/>
      <c r="F264" s="34">
        <f>IF(A264="","",IFERROR(INDEX(Policies!$B$2:$B$301,MATCH(A264,Policies!$A$2:$A$301,0)),"Policy # not found"))</f>
        <v/>
      </c>
      <c r="G264" s="28" t="n"/>
    </row>
    <row r="265">
      <c r="A265" s="28" t="n"/>
      <c r="B265" s="28" t="n"/>
      <c r="C265" s="28" t="n"/>
      <c r="D265" s="28" t="n"/>
      <c r="E265" s="35" t="n"/>
      <c r="F265" s="34">
        <f>IF(A265="","",IFERROR(INDEX(Policies!$B$2:$B$301,MATCH(A265,Policies!$A$2:$A$301,0)),"Policy # not found"))</f>
        <v/>
      </c>
      <c r="G265" s="28" t="n"/>
    </row>
    <row r="266">
      <c r="A266" s="28" t="n"/>
      <c r="B266" s="28" t="n"/>
      <c r="C266" s="28" t="n"/>
      <c r="D266" s="28" t="n"/>
      <c r="E266" s="35" t="n"/>
      <c r="F266" s="34">
        <f>IF(A266="","",IFERROR(INDEX(Policies!$B$2:$B$301,MATCH(A266,Policies!$A$2:$A$301,0)),"Policy # not found"))</f>
        <v/>
      </c>
      <c r="G266" s="28" t="n"/>
    </row>
    <row r="267">
      <c r="A267" s="28" t="n"/>
      <c r="B267" s="28" t="n"/>
      <c r="C267" s="28" t="n"/>
      <c r="D267" s="28" t="n"/>
      <c r="E267" s="35" t="n"/>
      <c r="F267" s="34">
        <f>IF(A267="","",IFERROR(INDEX(Policies!$B$2:$B$301,MATCH(A267,Policies!$A$2:$A$301,0)),"Policy # not found"))</f>
        <v/>
      </c>
      <c r="G267" s="28" t="n"/>
    </row>
    <row r="268">
      <c r="A268" s="28" t="n"/>
      <c r="B268" s="28" t="n"/>
      <c r="C268" s="28" t="n"/>
      <c r="D268" s="28" t="n"/>
      <c r="E268" s="35" t="n"/>
      <c r="F268" s="34">
        <f>IF(A268="","",IFERROR(INDEX(Policies!$B$2:$B$301,MATCH(A268,Policies!$A$2:$A$301,0)),"Policy # not found"))</f>
        <v/>
      </c>
      <c r="G268" s="28" t="n"/>
    </row>
    <row r="269">
      <c r="A269" s="28" t="n"/>
      <c r="B269" s="28" t="n"/>
      <c r="C269" s="28" t="n"/>
      <c r="D269" s="28" t="n"/>
      <c r="E269" s="35" t="n"/>
      <c r="F269" s="34">
        <f>IF(A269="","",IFERROR(INDEX(Policies!$B$2:$B$301,MATCH(A269,Policies!$A$2:$A$301,0)),"Policy # not found"))</f>
        <v/>
      </c>
      <c r="G269" s="28" t="n"/>
    </row>
    <row r="270">
      <c r="A270" s="28" t="n"/>
      <c r="B270" s="28" t="n"/>
      <c r="C270" s="28" t="n"/>
      <c r="D270" s="28" t="n"/>
      <c r="E270" s="35" t="n"/>
      <c r="F270" s="34">
        <f>IF(A270="","",IFERROR(INDEX(Policies!$B$2:$B$301,MATCH(A270,Policies!$A$2:$A$301,0)),"Policy # not found"))</f>
        <v/>
      </c>
      <c r="G270" s="28" t="n"/>
    </row>
    <row r="271">
      <c r="A271" s="28" t="n"/>
      <c r="B271" s="28" t="n"/>
      <c r="C271" s="28" t="n"/>
      <c r="D271" s="28" t="n"/>
      <c r="E271" s="35" t="n"/>
      <c r="F271" s="34">
        <f>IF(A271="","",IFERROR(INDEX(Policies!$B$2:$B$301,MATCH(A271,Policies!$A$2:$A$301,0)),"Policy # not found"))</f>
        <v/>
      </c>
      <c r="G271" s="28" t="n"/>
    </row>
    <row r="272">
      <c r="A272" s="28" t="n"/>
      <c r="B272" s="28" t="n"/>
      <c r="C272" s="28" t="n"/>
      <c r="D272" s="28" t="n"/>
      <c r="E272" s="35" t="n"/>
      <c r="F272" s="34">
        <f>IF(A272="","",IFERROR(INDEX(Policies!$B$2:$B$301,MATCH(A272,Policies!$A$2:$A$301,0)),"Policy # not found"))</f>
        <v/>
      </c>
      <c r="G272" s="28" t="n"/>
    </row>
    <row r="273">
      <c r="A273" s="28" t="n"/>
      <c r="B273" s="28" t="n"/>
      <c r="C273" s="28" t="n"/>
      <c r="D273" s="28" t="n"/>
      <c r="E273" s="35" t="n"/>
      <c r="F273" s="34">
        <f>IF(A273="","",IFERROR(INDEX(Policies!$B$2:$B$301,MATCH(A273,Policies!$A$2:$A$301,0)),"Policy # not found"))</f>
        <v/>
      </c>
      <c r="G273" s="28" t="n"/>
    </row>
    <row r="274">
      <c r="A274" s="28" t="n"/>
      <c r="B274" s="28" t="n"/>
      <c r="C274" s="28" t="n"/>
      <c r="D274" s="28" t="n"/>
      <c r="E274" s="35" t="n"/>
      <c r="F274" s="34">
        <f>IF(A274="","",IFERROR(INDEX(Policies!$B$2:$B$301,MATCH(A274,Policies!$A$2:$A$301,0)),"Policy # not found"))</f>
        <v/>
      </c>
      <c r="G274" s="28" t="n"/>
    </row>
    <row r="275">
      <c r="A275" s="28" t="n"/>
      <c r="B275" s="28" t="n"/>
      <c r="C275" s="28" t="n"/>
      <c r="D275" s="28" t="n"/>
      <c r="E275" s="35" t="n"/>
      <c r="F275" s="34">
        <f>IF(A275="","",IFERROR(INDEX(Policies!$B$2:$B$301,MATCH(A275,Policies!$A$2:$A$301,0)),"Policy # not found"))</f>
        <v/>
      </c>
      <c r="G275" s="28" t="n"/>
    </row>
    <row r="276">
      <c r="A276" s="28" t="n"/>
      <c r="B276" s="28" t="n"/>
      <c r="C276" s="28" t="n"/>
      <c r="D276" s="28" t="n"/>
      <c r="E276" s="35" t="n"/>
      <c r="F276" s="34">
        <f>IF(A276="","",IFERROR(INDEX(Policies!$B$2:$B$301,MATCH(A276,Policies!$A$2:$A$301,0)),"Policy # not found"))</f>
        <v/>
      </c>
      <c r="G276" s="28" t="n"/>
    </row>
    <row r="277">
      <c r="A277" s="28" t="n"/>
      <c r="B277" s="28" t="n"/>
      <c r="C277" s="28" t="n"/>
      <c r="D277" s="28" t="n"/>
      <c r="E277" s="35" t="n"/>
      <c r="F277" s="34">
        <f>IF(A277="","",IFERROR(INDEX(Policies!$B$2:$B$301,MATCH(A277,Policies!$A$2:$A$301,0)),"Policy # not found"))</f>
        <v/>
      </c>
      <c r="G277" s="28" t="n"/>
    </row>
    <row r="278">
      <c r="A278" s="28" t="n"/>
      <c r="B278" s="28" t="n"/>
      <c r="C278" s="28" t="n"/>
      <c r="D278" s="28" t="n"/>
      <c r="E278" s="35" t="n"/>
      <c r="F278" s="34">
        <f>IF(A278="","",IFERROR(INDEX(Policies!$B$2:$B$301,MATCH(A278,Policies!$A$2:$A$301,0)),"Policy # not found"))</f>
        <v/>
      </c>
      <c r="G278" s="28" t="n"/>
    </row>
    <row r="279">
      <c r="A279" s="28" t="n"/>
      <c r="B279" s="28" t="n"/>
      <c r="C279" s="28" t="n"/>
      <c r="D279" s="28" t="n"/>
      <c r="E279" s="35" t="n"/>
      <c r="F279" s="34">
        <f>IF(A279="","",IFERROR(INDEX(Policies!$B$2:$B$301,MATCH(A279,Policies!$A$2:$A$301,0)),"Policy # not found"))</f>
        <v/>
      </c>
      <c r="G279" s="28" t="n"/>
    </row>
    <row r="280">
      <c r="A280" s="28" t="n"/>
      <c r="B280" s="28" t="n"/>
      <c r="C280" s="28" t="n"/>
      <c r="D280" s="28" t="n"/>
      <c r="E280" s="35" t="n"/>
      <c r="F280" s="34">
        <f>IF(A280="","",IFERROR(INDEX(Policies!$B$2:$B$301,MATCH(A280,Policies!$A$2:$A$301,0)),"Policy # not found"))</f>
        <v/>
      </c>
      <c r="G280" s="28" t="n"/>
    </row>
    <row r="281">
      <c r="A281" s="28" t="n"/>
      <c r="B281" s="28" t="n"/>
      <c r="C281" s="28" t="n"/>
      <c r="D281" s="28" t="n"/>
      <c r="E281" s="35" t="n"/>
      <c r="F281" s="34">
        <f>IF(A281="","",IFERROR(INDEX(Policies!$B$2:$B$301,MATCH(A281,Policies!$A$2:$A$301,0)),"Policy # not found"))</f>
        <v/>
      </c>
      <c r="G281" s="28" t="n"/>
    </row>
    <row r="282">
      <c r="A282" s="28" t="n"/>
      <c r="B282" s="28" t="n"/>
      <c r="C282" s="28" t="n"/>
      <c r="D282" s="28" t="n"/>
      <c r="E282" s="35" t="n"/>
      <c r="F282" s="34">
        <f>IF(A282="","",IFERROR(INDEX(Policies!$B$2:$B$301,MATCH(A282,Policies!$A$2:$A$301,0)),"Policy # not found"))</f>
        <v/>
      </c>
      <c r="G282" s="28" t="n"/>
    </row>
    <row r="283">
      <c r="A283" s="28" t="n"/>
      <c r="B283" s="28" t="n"/>
      <c r="C283" s="28" t="n"/>
      <c r="D283" s="28" t="n"/>
      <c r="E283" s="35" t="n"/>
      <c r="F283" s="34">
        <f>IF(A283="","",IFERROR(INDEX(Policies!$B$2:$B$301,MATCH(A283,Policies!$A$2:$A$301,0)),"Policy # not found"))</f>
        <v/>
      </c>
      <c r="G283" s="28" t="n"/>
    </row>
    <row r="284">
      <c r="A284" s="28" t="n"/>
      <c r="B284" s="28" t="n"/>
      <c r="C284" s="28" t="n"/>
      <c r="D284" s="28" t="n"/>
      <c r="E284" s="35" t="n"/>
      <c r="F284" s="34">
        <f>IF(A284="","",IFERROR(INDEX(Policies!$B$2:$B$301,MATCH(A284,Policies!$A$2:$A$301,0)),"Policy # not found"))</f>
        <v/>
      </c>
      <c r="G284" s="28" t="n"/>
    </row>
    <row r="285">
      <c r="A285" s="28" t="n"/>
      <c r="B285" s="28" t="n"/>
      <c r="C285" s="28" t="n"/>
      <c r="D285" s="28" t="n"/>
      <c r="E285" s="35" t="n"/>
      <c r="F285" s="34">
        <f>IF(A285="","",IFERROR(INDEX(Policies!$B$2:$B$301,MATCH(A285,Policies!$A$2:$A$301,0)),"Policy # not found"))</f>
        <v/>
      </c>
      <c r="G285" s="28" t="n"/>
    </row>
    <row r="286">
      <c r="A286" s="28" t="n"/>
      <c r="B286" s="28" t="n"/>
      <c r="C286" s="28" t="n"/>
      <c r="D286" s="28" t="n"/>
      <c r="E286" s="35" t="n"/>
      <c r="F286" s="34">
        <f>IF(A286="","",IFERROR(INDEX(Policies!$B$2:$B$301,MATCH(A286,Policies!$A$2:$A$301,0)),"Policy # not found"))</f>
        <v/>
      </c>
      <c r="G286" s="28" t="n"/>
    </row>
    <row r="287">
      <c r="A287" s="28" t="n"/>
      <c r="B287" s="28" t="n"/>
      <c r="C287" s="28" t="n"/>
      <c r="D287" s="28" t="n"/>
      <c r="E287" s="35" t="n"/>
      <c r="F287" s="34">
        <f>IF(A287="","",IFERROR(INDEX(Policies!$B$2:$B$301,MATCH(A287,Policies!$A$2:$A$301,0)),"Policy # not found"))</f>
        <v/>
      </c>
      <c r="G287" s="28" t="n"/>
    </row>
    <row r="288">
      <c r="A288" s="28" t="n"/>
      <c r="B288" s="28" t="n"/>
      <c r="C288" s="28" t="n"/>
      <c r="D288" s="28" t="n"/>
      <c r="E288" s="35" t="n"/>
      <c r="F288" s="34">
        <f>IF(A288="","",IFERROR(INDEX(Policies!$B$2:$B$301,MATCH(A288,Policies!$A$2:$A$301,0)),"Policy # not found"))</f>
        <v/>
      </c>
      <c r="G288" s="28" t="n"/>
    </row>
    <row r="289">
      <c r="A289" s="28" t="n"/>
      <c r="B289" s="28" t="n"/>
      <c r="C289" s="28" t="n"/>
      <c r="D289" s="28" t="n"/>
      <c r="E289" s="35" t="n"/>
      <c r="F289" s="34">
        <f>IF(A289="","",IFERROR(INDEX(Policies!$B$2:$B$301,MATCH(A289,Policies!$A$2:$A$301,0)),"Policy # not found"))</f>
        <v/>
      </c>
      <c r="G289" s="28" t="n"/>
    </row>
    <row r="290">
      <c r="A290" s="28" t="n"/>
      <c r="B290" s="28" t="n"/>
      <c r="C290" s="28" t="n"/>
      <c r="D290" s="28" t="n"/>
      <c r="E290" s="35" t="n"/>
      <c r="F290" s="34">
        <f>IF(A290="","",IFERROR(INDEX(Policies!$B$2:$B$301,MATCH(A290,Policies!$A$2:$A$301,0)),"Policy # not found"))</f>
        <v/>
      </c>
      <c r="G290" s="28" t="n"/>
    </row>
    <row r="291">
      <c r="A291" s="28" t="n"/>
      <c r="B291" s="28" t="n"/>
      <c r="C291" s="28" t="n"/>
      <c r="D291" s="28" t="n"/>
      <c r="E291" s="35" t="n"/>
      <c r="F291" s="34">
        <f>IF(A291="","",IFERROR(INDEX(Policies!$B$2:$B$301,MATCH(A291,Policies!$A$2:$A$301,0)),"Policy # not found"))</f>
        <v/>
      </c>
      <c r="G291" s="28" t="n"/>
    </row>
    <row r="292">
      <c r="A292" s="28" t="n"/>
      <c r="B292" s="28" t="n"/>
      <c r="C292" s="28" t="n"/>
      <c r="D292" s="28" t="n"/>
      <c r="E292" s="35" t="n"/>
      <c r="F292" s="34">
        <f>IF(A292="","",IFERROR(INDEX(Policies!$B$2:$B$301,MATCH(A292,Policies!$A$2:$A$301,0)),"Policy # not found"))</f>
        <v/>
      </c>
      <c r="G292" s="28" t="n"/>
    </row>
    <row r="293">
      <c r="A293" s="28" t="n"/>
      <c r="B293" s="28" t="n"/>
      <c r="C293" s="28" t="n"/>
      <c r="D293" s="28" t="n"/>
      <c r="E293" s="35" t="n"/>
      <c r="F293" s="34">
        <f>IF(A293="","",IFERROR(INDEX(Policies!$B$2:$B$301,MATCH(A293,Policies!$A$2:$A$301,0)),"Policy # not found"))</f>
        <v/>
      </c>
      <c r="G293" s="28" t="n"/>
    </row>
    <row r="294">
      <c r="A294" s="28" t="n"/>
      <c r="B294" s="28" t="n"/>
      <c r="C294" s="28" t="n"/>
      <c r="D294" s="28" t="n"/>
      <c r="E294" s="35" t="n"/>
      <c r="F294" s="34">
        <f>IF(A294="","",IFERROR(INDEX(Policies!$B$2:$B$301,MATCH(A294,Policies!$A$2:$A$301,0)),"Policy # not found"))</f>
        <v/>
      </c>
      <c r="G294" s="28" t="n"/>
    </row>
    <row r="295">
      <c r="A295" s="28" t="n"/>
      <c r="B295" s="28" t="n"/>
      <c r="C295" s="28" t="n"/>
      <c r="D295" s="28" t="n"/>
      <c r="E295" s="35" t="n"/>
      <c r="F295" s="34">
        <f>IF(A295="","",IFERROR(INDEX(Policies!$B$2:$B$301,MATCH(A295,Policies!$A$2:$A$301,0)),"Policy # not found"))</f>
        <v/>
      </c>
      <c r="G295" s="28" t="n"/>
    </row>
    <row r="296">
      <c r="A296" s="28" t="n"/>
      <c r="B296" s="28" t="n"/>
      <c r="C296" s="28" t="n"/>
      <c r="D296" s="28" t="n"/>
      <c r="E296" s="35" t="n"/>
      <c r="F296" s="34">
        <f>IF(A296="","",IFERROR(INDEX(Policies!$B$2:$B$301,MATCH(A296,Policies!$A$2:$A$301,0)),"Policy # not found"))</f>
        <v/>
      </c>
      <c r="G296" s="28" t="n"/>
    </row>
    <row r="297">
      <c r="A297" s="28" t="n"/>
      <c r="B297" s="28" t="n"/>
      <c r="C297" s="28" t="n"/>
      <c r="D297" s="28" t="n"/>
      <c r="E297" s="35" t="n"/>
      <c r="F297" s="34">
        <f>IF(A297="","",IFERROR(INDEX(Policies!$B$2:$B$301,MATCH(A297,Policies!$A$2:$A$301,0)),"Policy # not found"))</f>
        <v/>
      </c>
      <c r="G297" s="28" t="n"/>
    </row>
    <row r="298">
      <c r="A298" s="28" t="n"/>
      <c r="B298" s="28" t="n"/>
      <c r="C298" s="28" t="n"/>
      <c r="D298" s="28" t="n"/>
      <c r="E298" s="35" t="n"/>
      <c r="F298" s="34">
        <f>IF(A298="","",IFERROR(INDEX(Policies!$B$2:$B$301,MATCH(A298,Policies!$A$2:$A$301,0)),"Policy # not found"))</f>
        <v/>
      </c>
      <c r="G298" s="28" t="n"/>
    </row>
    <row r="299">
      <c r="A299" s="28" t="n"/>
      <c r="B299" s="28" t="n"/>
      <c r="C299" s="28" t="n"/>
      <c r="D299" s="28" t="n"/>
      <c r="E299" s="35" t="n"/>
      <c r="F299" s="34">
        <f>IF(A299="","",IFERROR(INDEX(Policies!$B$2:$B$301,MATCH(A299,Policies!$A$2:$A$301,0)),"Policy # not found"))</f>
        <v/>
      </c>
      <c r="G299" s="28" t="n"/>
    </row>
    <row r="300">
      <c r="A300" s="28" t="n"/>
      <c r="B300" s="28" t="n"/>
      <c r="C300" s="28" t="n"/>
      <c r="D300" s="28" t="n"/>
      <c r="E300" s="35" t="n"/>
      <c r="F300" s="34">
        <f>IF(A300="","",IFERROR(INDEX(Policies!$B$2:$B$301,MATCH(A300,Policies!$A$2:$A$301,0)),"Policy # not found"))</f>
        <v/>
      </c>
      <c r="G300" s="28" t="n"/>
    </row>
    <row r="301">
      <c r="A301" s="28" t="n"/>
      <c r="B301" s="28" t="n"/>
      <c r="C301" s="28" t="n"/>
      <c r="D301" s="28" t="n"/>
      <c r="E301" s="35" t="n"/>
      <c r="F301" s="34">
        <f>IF(A301="","",IFERROR(INDEX(Policies!$B$2:$B$301,MATCH(A301,Policies!$A$2:$A$301,0)),"Policy # not found"))</f>
        <v/>
      </c>
      <c r="G301" s="28" t="n"/>
    </row>
  </sheetData>
  <autoFilter ref="A1:G301"/>
  <dataValidations count="3">
    <dataValidation sqref="C2:C301" showDropDown="0" showInputMessage="0" showErrorMessage="0" allowBlank="1" errorTitle="Invalid entry" error="Pick a value from the list (edit the Lists sheet to add options)." type="list">
      <formula1>=Lists!$G$2:$G$10</formula1>
    </dataValidation>
    <dataValidation sqref="D2:D301" showDropDown="0" showInputMessage="0" showErrorMessage="0" allowBlank="1" errorTitle="Invalid entry" error="Pick a value from the list (edit the Lists sheet to add options)." type="list">
      <formula1>=Lists!$F$2:$F$3</formula1>
    </dataValidation>
    <dataValidation sqref="E2:E301" showDropDown="0" showInputMessage="0" showErrorMessage="0" allowBlank="1" error="Enter a percentage from 0% to 100%." type="decimal" operator="between">
      <formula1>0</formula1>
      <formula2>1</formula2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12" customWidth="1" min="3" max="3"/>
    <col width="16" customWidth="1" min="4" max="4"/>
    <col width="20" customWidth="1" min="5" max="5"/>
    <col width="36" customWidth="1" min="6" max="6"/>
  </cols>
  <sheetData>
    <row r="1" ht="32" customHeight="1">
      <c r="A1" s="18" t="inlineStr">
        <is>
          <t>Date Paid</t>
        </is>
      </c>
      <c r="B1" s="18" t="inlineStr">
        <is>
          <t>Policy Number</t>
        </is>
      </c>
      <c r="C1" s="18" t="inlineStr">
        <is>
          <t>Amount</t>
        </is>
      </c>
      <c r="D1" s="18" t="inlineStr">
        <is>
          <t>Method</t>
        </is>
      </c>
      <c r="E1" s="18" t="inlineStr">
        <is>
          <t>Insured (lookup)</t>
        </is>
      </c>
      <c r="F1" s="18" t="inlineStr">
        <is>
          <t>Notes</t>
        </is>
      </c>
    </row>
    <row r="2">
      <c r="A2" s="23" t="n">
        <v>46249</v>
      </c>
      <c r="B2" s="19" t="inlineStr">
        <is>
          <t>EX-0001</t>
        </is>
      </c>
      <c r="C2" s="21" t="n">
        <v>42.5</v>
      </c>
      <c r="D2" s="19" t="inlineStr">
        <is>
          <t>Bank Draft</t>
        </is>
      </c>
      <c r="E2" s="34">
        <f>IF(B2="","",IFERROR(INDEX(Policies!$B$2:$B$301,MATCH(B2,Policies!$A$2:$A$301,0)),"Policy # not found"))</f>
        <v/>
      </c>
      <c r="F2" s="19" t="inlineStr">
        <is>
          <t>EXAMPLE ROW</t>
        </is>
      </c>
    </row>
    <row r="3">
      <c r="A3" s="23" t="n">
        <v>46280</v>
      </c>
      <c r="B3" s="19" t="inlineStr">
        <is>
          <t>EX-0001</t>
        </is>
      </c>
      <c r="C3" s="21" t="n">
        <v>42.5</v>
      </c>
      <c r="D3" s="19" t="inlineStr">
        <is>
          <t>Bank Draft</t>
        </is>
      </c>
      <c r="E3" s="34">
        <f>IF(B3="","",IFERROR(INDEX(Policies!$B$2:$B$301,MATCH(B3,Policies!$A$2:$A$301,0)),"Policy # not found"))</f>
        <v/>
      </c>
      <c r="F3" s="19" t="inlineStr">
        <is>
          <t>EXAMPLE ROW</t>
        </is>
      </c>
    </row>
    <row r="4">
      <c r="A4" s="31" t="n"/>
      <c r="B4" s="28" t="n"/>
      <c r="C4" s="30" t="n"/>
      <c r="D4" s="28" t="n"/>
      <c r="E4" s="34">
        <f>IF(B4="","",IFERROR(INDEX(Policies!$B$2:$B$301,MATCH(B4,Policies!$A$2:$A$301,0)),"Policy # not found"))</f>
        <v/>
      </c>
      <c r="F4" s="28" t="n"/>
    </row>
    <row r="5">
      <c r="A5" s="31" t="n"/>
      <c r="B5" s="28" t="n"/>
      <c r="C5" s="30" t="n"/>
      <c r="D5" s="28" t="n"/>
      <c r="E5" s="34">
        <f>IF(B5="","",IFERROR(INDEX(Policies!$B$2:$B$301,MATCH(B5,Policies!$A$2:$A$301,0)),"Policy # not found"))</f>
        <v/>
      </c>
      <c r="F5" s="28" t="n"/>
    </row>
    <row r="6">
      <c r="A6" s="31" t="n"/>
      <c r="B6" s="28" t="n"/>
      <c r="C6" s="30" t="n"/>
      <c r="D6" s="28" t="n"/>
      <c r="E6" s="34">
        <f>IF(B6="","",IFERROR(INDEX(Policies!$B$2:$B$301,MATCH(B6,Policies!$A$2:$A$301,0)),"Policy # not found"))</f>
        <v/>
      </c>
      <c r="F6" s="28" t="n"/>
    </row>
    <row r="7">
      <c r="A7" s="31" t="n"/>
      <c r="B7" s="28" t="n"/>
      <c r="C7" s="30" t="n"/>
      <c r="D7" s="28" t="n"/>
      <c r="E7" s="34">
        <f>IF(B7="","",IFERROR(INDEX(Policies!$B$2:$B$301,MATCH(B7,Policies!$A$2:$A$301,0)),"Policy # not found"))</f>
        <v/>
      </c>
      <c r="F7" s="28" t="n"/>
    </row>
    <row r="8">
      <c r="A8" s="31" t="n"/>
      <c r="B8" s="28" t="n"/>
      <c r="C8" s="30" t="n"/>
      <c r="D8" s="28" t="n"/>
      <c r="E8" s="34">
        <f>IF(B8="","",IFERROR(INDEX(Policies!$B$2:$B$301,MATCH(B8,Policies!$A$2:$A$301,0)),"Policy # not found"))</f>
        <v/>
      </c>
      <c r="F8" s="28" t="n"/>
    </row>
    <row r="9">
      <c r="A9" s="31" t="n"/>
      <c r="B9" s="28" t="n"/>
      <c r="C9" s="30" t="n"/>
      <c r="D9" s="28" t="n"/>
      <c r="E9" s="34">
        <f>IF(B9="","",IFERROR(INDEX(Policies!$B$2:$B$301,MATCH(B9,Policies!$A$2:$A$301,0)),"Policy # not found"))</f>
        <v/>
      </c>
      <c r="F9" s="28" t="n"/>
    </row>
    <row r="10">
      <c r="A10" s="31" t="n"/>
      <c r="B10" s="28" t="n"/>
      <c r="C10" s="30" t="n"/>
      <c r="D10" s="28" t="n"/>
      <c r="E10" s="34">
        <f>IF(B10="","",IFERROR(INDEX(Policies!$B$2:$B$301,MATCH(B10,Policies!$A$2:$A$301,0)),"Policy # not found"))</f>
        <v/>
      </c>
      <c r="F10" s="28" t="n"/>
    </row>
    <row r="11">
      <c r="A11" s="31" t="n"/>
      <c r="B11" s="28" t="n"/>
      <c r="C11" s="30" t="n"/>
      <c r="D11" s="28" t="n"/>
      <c r="E11" s="34">
        <f>IF(B11="","",IFERROR(INDEX(Policies!$B$2:$B$301,MATCH(B11,Policies!$A$2:$A$301,0)),"Policy # not found"))</f>
        <v/>
      </c>
      <c r="F11" s="28" t="n"/>
    </row>
    <row r="12">
      <c r="A12" s="31" t="n"/>
      <c r="B12" s="28" t="n"/>
      <c r="C12" s="30" t="n"/>
      <c r="D12" s="28" t="n"/>
      <c r="E12" s="34">
        <f>IF(B12="","",IFERROR(INDEX(Policies!$B$2:$B$301,MATCH(B12,Policies!$A$2:$A$301,0)),"Policy # not found"))</f>
        <v/>
      </c>
      <c r="F12" s="28" t="n"/>
    </row>
    <row r="13">
      <c r="A13" s="31" t="n"/>
      <c r="B13" s="28" t="n"/>
      <c r="C13" s="30" t="n"/>
      <c r="D13" s="28" t="n"/>
      <c r="E13" s="34">
        <f>IF(B13="","",IFERROR(INDEX(Policies!$B$2:$B$301,MATCH(B13,Policies!$A$2:$A$301,0)),"Policy # not found"))</f>
        <v/>
      </c>
      <c r="F13" s="28" t="n"/>
    </row>
    <row r="14">
      <c r="A14" s="31" t="n"/>
      <c r="B14" s="28" t="n"/>
      <c r="C14" s="30" t="n"/>
      <c r="D14" s="28" t="n"/>
      <c r="E14" s="34">
        <f>IF(B14="","",IFERROR(INDEX(Policies!$B$2:$B$301,MATCH(B14,Policies!$A$2:$A$301,0)),"Policy # not found"))</f>
        <v/>
      </c>
      <c r="F14" s="28" t="n"/>
    </row>
    <row r="15">
      <c r="A15" s="31" t="n"/>
      <c r="B15" s="28" t="n"/>
      <c r="C15" s="30" t="n"/>
      <c r="D15" s="28" t="n"/>
      <c r="E15" s="34">
        <f>IF(B15="","",IFERROR(INDEX(Policies!$B$2:$B$301,MATCH(B15,Policies!$A$2:$A$301,0)),"Policy # not found"))</f>
        <v/>
      </c>
      <c r="F15" s="28" t="n"/>
    </row>
    <row r="16">
      <c r="A16" s="31" t="n"/>
      <c r="B16" s="28" t="n"/>
      <c r="C16" s="30" t="n"/>
      <c r="D16" s="28" t="n"/>
      <c r="E16" s="34">
        <f>IF(B16="","",IFERROR(INDEX(Policies!$B$2:$B$301,MATCH(B16,Policies!$A$2:$A$301,0)),"Policy # not found"))</f>
        <v/>
      </c>
      <c r="F16" s="28" t="n"/>
    </row>
    <row r="17">
      <c r="A17" s="31" t="n"/>
      <c r="B17" s="28" t="n"/>
      <c r="C17" s="30" t="n"/>
      <c r="D17" s="28" t="n"/>
      <c r="E17" s="34">
        <f>IF(B17="","",IFERROR(INDEX(Policies!$B$2:$B$301,MATCH(B17,Policies!$A$2:$A$301,0)),"Policy # not found"))</f>
        <v/>
      </c>
      <c r="F17" s="28" t="n"/>
    </row>
    <row r="18">
      <c r="A18" s="31" t="n"/>
      <c r="B18" s="28" t="n"/>
      <c r="C18" s="30" t="n"/>
      <c r="D18" s="28" t="n"/>
      <c r="E18" s="34">
        <f>IF(B18="","",IFERROR(INDEX(Policies!$B$2:$B$301,MATCH(B18,Policies!$A$2:$A$301,0)),"Policy # not found"))</f>
        <v/>
      </c>
      <c r="F18" s="28" t="n"/>
    </row>
    <row r="19">
      <c r="A19" s="31" t="n"/>
      <c r="B19" s="28" t="n"/>
      <c r="C19" s="30" t="n"/>
      <c r="D19" s="28" t="n"/>
      <c r="E19" s="34">
        <f>IF(B19="","",IFERROR(INDEX(Policies!$B$2:$B$301,MATCH(B19,Policies!$A$2:$A$301,0)),"Policy # not found"))</f>
        <v/>
      </c>
      <c r="F19" s="28" t="n"/>
    </row>
    <row r="20">
      <c r="A20" s="31" t="n"/>
      <c r="B20" s="28" t="n"/>
      <c r="C20" s="30" t="n"/>
      <c r="D20" s="28" t="n"/>
      <c r="E20" s="34">
        <f>IF(B20="","",IFERROR(INDEX(Policies!$B$2:$B$301,MATCH(B20,Policies!$A$2:$A$301,0)),"Policy # not found"))</f>
        <v/>
      </c>
      <c r="F20" s="28" t="n"/>
    </row>
    <row r="21">
      <c r="A21" s="31" t="n"/>
      <c r="B21" s="28" t="n"/>
      <c r="C21" s="30" t="n"/>
      <c r="D21" s="28" t="n"/>
      <c r="E21" s="34">
        <f>IF(B21="","",IFERROR(INDEX(Policies!$B$2:$B$301,MATCH(B21,Policies!$A$2:$A$301,0)),"Policy # not found"))</f>
        <v/>
      </c>
      <c r="F21" s="28" t="n"/>
    </row>
    <row r="22">
      <c r="A22" s="31" t="n"/>
      <c r="B22" s="28" t="n"/>
      <c r="C22" s="30" t="n"/>
      <c r="D22" s="28" t="n"/>
      <c r="E22" s="34">
        <f>IF(B22="","",IFERROR(INDEX(Policies!$B$2:$B$301,MATCH(B22,Policies!$A$2:$A$301,0)),"Policy # not found"))</f>
        <v/>
      </c>
      <c r="F22" s="28" t="n"/>
    </row>
    <row r="23">
      <c r="A23" s="31" t="n"/>
      <c r="B23" s="28" t="n"/>
      <c r="C23" s="30" t="n"/>
      <c r="D23" s="28" t="n"/>
      <c r="E23" s="34">
        <f>IF(B23="","",IFERROR(INDEX(Policies!$B$2:$B$301,MATCH(B23,Policies!$A$2:$A$301,0)),"Policy # not found"))</f>
        <v/>
      </c>
      <c r="F23" s="28" t="n"/>
    </row>
    <row r="24">
      <c r="A24" s="31" t="n"/>
      <c r="B24" s="28" t="n"/>
      <c r="C24" s="30" t="n"/>
      <c r="D24" s="28" t="n"/>
      <c r="E24" s="34">
        <f>IF(B24="","",IFERROR(INDEX(Policies!$B$2:$B$301,MATCH(B24,Policies!$A$2:$A$301,0)),"Policy # not found"))</f>
        <v/>
      </c>
      <c r="F24" s="28" t="n"/>
    </row>
    <row r="25">
      <c r="A25" s="31" t="n"/>
      <c r="B25" s="28" t="n"/>
      <c r="C25" s="30" t="n"/>
      <c r="D25" s="28" t="n"/>
      <c r="E25" s="34">
        <f>IF(B25="","",IFERROR(INDEX(Policies!$B$2:$B$301,MATCH(B25,Policies!$A$2:$A$301,0)),"Policy # not found"))</f>
        <v/>
      </c>
      <c r="F25" s="28" t="n"/>
    </row>
    <row r="26">
      <c r="A26" s="31" t="n"/>
      <c r="B26" s="28" t="n"/>
      <c r="C26" s="30" t="n"/>
      <c r="D26" s="28" t="n"/>
      <c r="E26" s="34">
        <f>IF(B26="","",IFERROR(INDEX(Policies!$B$2:$B$301,MATCH(B26,Policies!$A$2:$A$301,0)),"Policy # not found"))</f>
        <v/>
      </c>
      <c r="F26" s="28" t="n"/>
    </row>
    <row r="27">
      <c r="A27" s="31" t="n"/>
      <c r="B27" s="28" t="n"/>
      <c r="C27" s="30" t="n"/>
      <c r="D27" s="28" t="n"/>
      <c r="E27" s="34">
        <f>IF(B27="","",IFERROR(INDEX(Policies!$B$2:$B$301,MATCH(B27,Policies!$A$2:$A$301,0)),"Policy # not found"))</f>
        <v/>
      </c>
      <c r="F27" s="28" t="n"/>
    </row>
    <row r="28">
      <c r="A28" s="31" t="n"/>
      <c r="B28" s="28" t="n"/>
      <c r="C28" s="30" t="n"/>
      <c r="D28" s="28" t="n"/>
      <c r="E28" s="34">
        <f>IF(B28="","",IFERROR(INDEX(Policies!$B$2:$B$301,MATCH(B28,Policies!$A$2:$A$301,0)),"Policy # not found"))</f>
        <v/>
      </c>
      <c r="F28" s="28" t="n"/>
    </row>
    <row r="29">
      <c r="A29" s="31" t="n"/>
      <c r="B29" s="28" t="n"/>
      <c r="C29" s="30" t="n"/>
      <c r="D29" s="28" t="n"/>
      <c r="E29" s="34">
        <f>IF(B29="","",IFERROR(INDEX(Policies!$B$2:$B$301,MATCH(B29,Policies!$A$2:$A$301,0)),"Policy # not found"))</f>
        <v/>
      </c>
      <c r="F29" s="28" t="n"/>
    </row>
    <row r="30">
      <c r="A30" s="31" t="n"/>
      <c r="B30" s="28" t="n"/>
      <c r="C30" s="30" t="n"/>
      <c r="D30" s="28" t="n"/>
      <c r="E30" s="34">
        <f>IF(B30="","",IFERROR(INDEX(Policies!$B$2:$B$301,MATCH(B30,Policies!$A$2:$A$301,0)),"Policy # not found"))</f>
        <v/>
      </c>
      <c r="F30" s="28" t="n"/>
    </row>
    <row r="31">
      <c r="A31" s="31" t="n"/>
      <c r="B31" s="28" t="n"/>
      <c r="C31" s="30" t="n"/>
      <c r="D31" s="28" t="n"/>
      <c r="E31" s="34">
        <f>IF(B31="","",IFERROR(INDEX(Policies!$B$2:$B$301,MATCH(B31,Policies!$A$2:$A$301,0)),"Policy # not found"))</f>
        <v/>
      </c>
      <c r="F31" s="28" t="n"/>
    </row>
    <row r="32">
      <c r="A32" s="31" t="n"/>
      <c r="B32" s="28" t="n"/>
      <c r="C32" s="30" t="n"/>
      <c r="D32" s="28" t="n"/>
      <c r="E32" s="34">
        <f>IF(B32="","",IFERROR(INDEX(Policies!$B$2:$B$301,MATCH(B32,Policies!$A$2:$A$301,0)),"Policy # not found"))</f>
        <v/>
      </c>
      <c r="F32" s="28" t="n"/>
    </row>
    <row r="33">
      <c r="A33" s="31" t="n"/>
      <c r="B33" s="28" t="n"/>
      <c r="C33" s="30" t="n"/>
      <c r="D33" s="28" t="n"/>
      <c r="E33" s="34">
        <f>IF(B33="","",IFERROR(INDEX(Policies!$B$2:$B$301,MATCH(B33,Policies!$A$2:$A$301,0)),"Policy # not found"))</f>
        <v/>
      </c>
      <c r="F33" s="28" t="n"/>
    </row>
    <row r="34">
      <c r="A34" s="31" t="n"/>
      <c r="B34" s="28" t="n"/>
      <c r="C34" s="30" t="n"/>
      <c r="D34" s="28" t="n"/>
      <c r="E34" s="34">
        <f>IF(B34="","",IFERROR(INDEX(Policies!$B$2:$B$301,MATCH(B34,Policies!$A$2:$A$301,0)),"Policy # not found"))</f>
        <v/>
      </c>
      <c r="F34" s="28" t="n"/>
    </row>
    <row r="35">
      <c r="A35" s="31" t="n"/>
      <c r="B35" s="28" t="n"/>
      <c r="C35" s="30" t="n"/>
      <c r="D35" s="28" t="n"/>
      <c r="E35" s="34">
        <f>IF(B35="","",IFERROR(INDEX(Policies!$B$2:$B$301,MATCH(B35,Policies!$A$2:$A$301,0)),"Policy # not found"))</f>
        <v/>
      </c>
      <c r="F35" s="28" t="n"/>
    </row>
    <row r="36">
      <c r="A36" s="31" t="n"/>
      <c r="B36" s="28" t="n"/>
      <c r="C36" s="30" t="n"/>
      <c r="D36" s="28" t="n"/>
      <c r="E36" s="34">
        <f>IF(B36="","",IFERROR(INDEX(Policies!$B$2:$B$301,MATCH(B36,Policies!$A$2:$A$301,0)),"Policy # not found"))</f>
        <v/>
      </c>
      <c r="F36" s="28" t="n"/>
    </row>
    <row r="37">
      <c r="A37" s="31" t="n"/>
      <c r="B37" s="28" t="n"/>
      <c r="C37" s="30" t="n"/>
      <c r="D37" s="28" t="n"/>
      <c r="E37" s="34">
        <f>IF(B37="","",IFERROR(INDEX(Policies!$B$2:$B$301,MATCH(B37,Policies!$A$2:$A$301,0)),"Policy # not found"))</f>
        <v/>
      </c>
      <c r="F37" s="28" t="n"/>
    </row>
    <row r="38">
      <c r="A38" s="31" t="n"/>
      <c r="B38" s="28" t="n"/>
      <c r="C38" s="30" t="n"/>
      <c r="D38" s="28" t="n"/>
      <c r="E38" s="34">
        <f>IF(B38="","",IFERROR(INDEX(Policies!$B$2:$B$301,MATCH(B38,Policies!$A$2:$A$301,0)),"Policy # not found"))</f>
        <v/>
      </c>
      <c r="F38" s="28" t="n"/>
    </row>
    <row r="39">
      <c r="A39" s="31" t="n"/>
      <c r="B39" s="28" t="n"/>
      <c r="C39" s="30" t="n"/>
      <c r="D39" s="28" t="n"/>
      <c r="E39" s="34">
        <f>IF(B39="","",IFERROR(INDEX(Policies!$B$2:$B$301,MATCH(B39,Policies!$A$2:$A$301,0)),"Policy # not found"))</f>
        <v/>
      </c>
      <c r="F39" s="28" t="n"/>
    </row>
    <row r="40">
      <c r="A40" s="31" t="n"/>
      <c r="B40" s="28" t="n"/>
      <c r="C40" s="30" t="n"/>
      <c r="D40" s="28" t="n"/>
      <c r="E40" s="34">
        <f>IF(B40="","",IFERROR(INDEX(Policies!$B$2:$B$301,MATCH(B40,Policies!$A$2:$A$301,0)),"Policy # not found"))</f>
        <v/>
      </c>
      <c r="F40" s="28" t="n"/>
    </row>
    <row r="41">
      <c r="A41" s="31" t="n"/>
      <c r="B41" s="28" t="n"/>
      <c r="C41" s="30" t="n"/>
      <c r="D41" s="28" t="n"/>
      <c r="E41" s="34">
        <f>IF(B41="","",IFERROR(INDEX(Policies!$B$2:$B$301,MATCH(B41,Policies!$A$2:$A$301,0)),"Policy # not found"))</f>
        <v/>
      </c>
      <c r="F41" s="28" t="n"/>
    </row>
    <row r="42">
      <c r="A42" s="31" t="n"/>
      <c r="B42" s="28" t="n"/>
      <c r="C42" s="30" t="n"/>
      <c r="D42" s="28" t="n"/>
      <c r="E42" s="34">
        <f>IF(B42="","",IFERROR(INDEX(Policies!$B$2:$B$301,MATCH(B42,Policies!$A$2:$A$301,0)),"Policy # not found"))</f>
        <v/>
      </c>
      <c r="F42" s="28" t="n"/>
    </row>
    <row r="43">
      <c r="A43" s="31" t="n"/>
      <c r="B43" s="28" t="n"/>
      <c r="C43" s="30" t="n"/>
      <c r="D43" s="28" t="n"/>
      <c r="E43" s="34">
        <f>IF(B43="","",IFERROR(INDEX(Policies!$B$2:$B$301,MATCH(B43,Policies!$A$2:$A$301,0)),"Policy # not found"))</f>
        <v/>
      </c>
      <c r="F43" s="28" t="n"/>
    </row>
    <row r="44">
      <c r="A44" s="31" t="n"/>
      <c r="B44" s="28" t="n"/>
      <c r="C44" s="30" t="n"/>
      <c r="D44" s="28" t="n"/>
      <c r="E44" s="34">
        <f>IF(B44="","",IFERROR(INDEX(Policies!$B$2:$B$301,MATCH(B44,Policies!$A$2:$A$301,0)),"Policy # not found"))</f>
        <v/>
      </c>
      <c r="F44" s="28" t="n"/>
    </row>
    <row r="45">
      <c r="A45" s="31" t="n"/>
      <c r="B45" s="28" t="n"/>
      <c r="C45" s="30" t="n"/>
      <c r="D45" s="28" t="n"/>
      <c r="E45" s="34">
        <f>IF(B45="","",IFERROR(INDEX(Policies!$B$2:$B$301,MATCH(B45,Policies!$A$2:$A$301,0)),"Policy # not found"))</f>
        <v/>
      </c>
      <c r="F45" s="28" t="n"/>
    </row>
    <row r="46">
      <c r="A46" s="31" t="n"/>
      <c r="B46" s="28" t="n"/>
      <c r="C46" s="30" t="n"/>
      <c r="D46" s="28" t="n"/>
      <c r="E46" s="34">
        <f>IF(B46="","",IFERROR(INDEX(Policies!$B$2:$B$301,MATCH(B46,Policies!$A$2:$A$301,0)),"Policy # not found"))</f>
        <v/>
      </c>
      <c r="F46" s="28" t="n"/>
    </row>
    <row r="47">
      <c r="A47" s="31" t="n"/>
      <c r="B47" s="28" t="n"/>
      <c r="C47" s="30" t="n"/>
      <c r="D47" s="28" t="n"/>
      <c r="E47" s="34">
        <f>IF(B47="","",IFERROR(INDEX(Policies!$B$2:$B$301,MATCH(B47,Policies!$A$2:$A$301,0)),"Policy # not found"))</f>
        <v/>
      </c>
      <c r="F47" s="28" t="n"/>
    </row>
    <row r="48">
      <c r="A48" s="31" t="n"/>
      <c r="B48" s="28" t="n"/>
      <c r="C48" s="30" t="n"/>
      <c r="D48" s="28" t="n"/>
      <c r="E48" s="34">
        <f>IF(B48="","",IFERROR(INDEX(Policies!$B$2:$B$301,MATCH(B48,Policies!$A$2:$A$301,0)),"Policy # not found"))</f>
        <v/>
      </c>
      <c r="F48" s="28" t="n"/>
    </row>
    <row r="49">
      <c r="A49" s="31" t="n"/>
      <c r="B49" s="28" t="n"/>
      <c r="C49" s="30" t="n"/>
      <c r="D49" s="28" t="n"/>
      <c r="E49" s="34">
        <f>IF(B49="","",IFERROR(INDEX(Policies!$B$2:$B$301,MATCH(B49,Policies!$A$2:$A$301,0)),"Policy # not found"))</f>
        <v/>
      </c>
      <c r="F49" s="28" t="n"/>
    </row>
    <row r="50">
      <c r="A50" s="31" t="n"/>
      <c r="B50" s="28" t="n"/>
      <c r="C50" s="30" t="n"/>
      <c r="D50" s="28" t="n"/>
      <c r="E50" s="34">
        <f>IF(B50="","",IFERROR(INDEX(Policies!$B$2:$B$301,MATCH(B50,Policies!$A$2:$A$301,0)),"Policy # not found"))</f>
        <v/>
      </c>
      <c r="F50" s="28" t="n"/>
    </row>
    <row r="51">
      <c r="A51" s="31" t="n"/>
      <c r="B51" s="28" t="n"/>
      <c r="C51" s="30" t="n"/>
      <c r="D51" s="28" t="n"/>
      <c r="E51" s="34">
        <f>IF(B51="","",IFERROR(INDEX(Policies!$B$2:$B$301,MATCH(B51,Policies!$A$2:$A$301,0)),"Policy # not found"))</f>
        <v/>
      </c>
      <c r="F51" s="28" t="n"/>
    </row>
    <row r="52">
      <c r="A52" s="31" t="n"/>
      <c r="B52" s="28" t="n"/>
      <c r="C52" s="30" t="n"/>
      <c r="D52" s="28" t="n"/>
      <c r="E52" s="34">
        <f>IF(B52="","",IFERROR(INDEX(Policies!$B$2:$B$301,MATCH(B52,Policies!$A$2:$A$301,0)),"Policy # not found"))</f>
        <v/>
      </c>
      <c r="F52" s="28" t="n"/>
    </row>
    <row r="53">
      <c r="A53" s="31" t="n"/>
      <c r="B53" s="28" t="n"/>
      <c r="C53" s="30" t="n"/>
      <c r="D53" s="28" t="n"/>
      <c r="E53" s="34">
        <f>IF(B53="","",IFERROR(INDEX(Policies!$B$2:$B$301,MATCH(B53,Policies!$A$2:$A$301,0)),"Policy # not found"))</f>
        <v/>
      </c>
      <c r="F53" s="28" t="n"/>
    </row>
    <row r="54">
      <c r="A54" s="31" t="n"/>
      <c r="B54" s="28" t="n"/>
      <c r="C54" s="30" t="n"/>
      <c r="D54" s="28" t="n"/>
      <c r="E54" s="34">
        <f>IF(B54="","",IFERROR(INDEX(Policies!$B$2:$B$301,MATCH(B54,Policies!$A$2:$A$301,0)),"Policy # not found"))</f>
        <v/>
      </c>
      <c r="F54" s="28" t="n"/>
    </row>
    <row r="55">
      <c r="A55" s="31" t="n"/>
      <c r="B55" s="28" t="n"/>
      <c r="C55" s="30" t="n"/>
      <c r="D55" s="28" t="n"/>
      <c r="E55" s="34">
        <f>IF(B55="","",IFERROR(INDEX(Policies!$B$2:$B$301,MATCH(B55,Policies!$A$2:$A$301,0)),"Policy # not found"))</f>
        <v/>
      </c>
      <c r="F55" s="28" t="n"/>
    </row>
    <row r="56">
      <c r="A56" s="31" t="n"/>
      <c r="B56" s="28" t="n"/>
      <c r="C56" s="30" t="n"/>
      <c r="D56" s="28" t="n"/>
      <c r="E56" s="34">
        <f>IF(B56="","",IFERROR(INDEX(Policies!$B$2:$B$301,MATCH(B56,Policies!$A$2:$A$301,0)),"Policy # not found"))</f>
        <v/>
      </c>
      <c r="F56" s="28" t="n"/>
    </row>
    <row r="57">
      <c r="A57" s="31" t="n"/>
      <c r="B57" s="28" t="n"/>
      <c r="C57" s="30" t="n"/>
      <c r="D57" s="28" t="n"/>
      <c r="E57" s="34">
        <f>IF(B57="","",IFERROR(INDEX(Policies!$B$2:$B$301,MATCH(B57,Policies!$A$2:$A$301,0)),"Policy # not found"))</f>
        <v/>
      </c>
      <c r="F57" s="28" t="n"/>
    </row>
    <row r="58">
      <c r="A58" s="31" t="n"/>
      <c r="B58" s="28" t="n"/>
      <c r="C58" s="30" t="n"/>
      <c r="D58" s="28" t="n"/>
      <c r="E58" s="34">
        <f>IF(B58="","",IFERROR(INDEX(Policies!$B$2:$B$301,MATCH(B58,Policies!$A$2:$A$301,0)),"Policy # not found"))</f>
        <v/>
      </c>
      <c r="F58" s="28" t="n"/>
    </row>
    <row r="59">
      <c r="A59" s="31" t="n"/>
      <c r="B59" s="28" t="n"/>
      <c r="C59" s="30" t="n"/>
      <c r="D59" s="28" t="n"/>
      <c r="E59" s="34">
        <f>IF(B59="","",IFERROR(INDEX(Policies!$B$2:$B$301,MATCH(B59,Policies!$A$2:$A$301,0)),"Policy # not found"))</f>
        <v/>
      </c>
      <c r="F59" s="28" t="n"/>
    </row>
    <row r="60">
      <c r="A60" s="31" t="n"/>
      <c r="B60" s="28" t="n"/>
      <c r="C60" s="30" t="n"/>
      <c r="D60" s="28" t="n"/>
      <c r="E60" s="34">
        <f>IF(B60="","",IFERROR(INDEX(Policies!$B$2:$B$301,MATCH(B60,Policies!$A$2:$A$301,0)),"Policy # not found"))</f>
        <v/>
      </c>
      <c r="F60" s="28" t="n"/>
    </row>
    <row r="61">
      <c r="A61" s="31" t="n"/>
      <c r="B61" s="28" t="n"/>
      <c r="C61" s="30" t="n"/>
      <c r="D61" s="28" t="n"/>
      <c r="E61" s="34">
        <f>IF(B61="","",IFERROR(INDEX(Policies!$B$2:$B$301,MATCH(B61,Policies!$A$2:$A$301,0)),"Policy # not found"))</f>
        <v/>
      </c>
      <c r="F61" s="28" t="n"/>
    </row>
    <row r="62">
      <c r="A62" s="31" t="n"/>
      <c r="B62" s="28" t="n"/>
      <c r="C62" s="30" t="n"/>
      <c r="D62" s="28" t="n"/>
      <c r="E62" s="34">
        <f>IF(B62="","",IFERROR(INDEX(Policies!$B$2:$B$301,MATCH(B62,Policies!$A$2:$A$301,0)),"Policy # not found"))</f>
        <v/>
      </c>
      <c r="F62" s="28" t="n"/>
    </row>
    <row r="63">
      <c r="A63" s="31" t="n"/>
      <c r="B63" s="28" t="n"/>
      <c r="C63" s="30" t="n"/>
      <c r="D63" s="28" t="n"/>
      <c r="E63" s="34">
        <f>IF(B63="","",IFERROR(INDEX(Policies!$B$2:$B$301,MATCH(B63,Policies!$A$2:$A$301,0)),"Policy # not found"))</f>
        <v/>
      </c>
      <c r="F63" s="28" t="n"/>
    </row>
    <row r="64">
      <c r="A64" s="31" t="n"/>
      <c r="B64" s="28" t="n"/>
      <c r="C64" s="30" t="n"/>
      <c r="D64" s="28" t="n"/>
      <c r="E64" s="34">
        <f>IF(B64="","",IFERROR(INDEX(Policies!$B$2:$B$301,MATCH(B64,Policies!$A$2:$A$301,0)),"Policy # not found"))</f>
        <v/>
      </c>
      <c r="F64" s="28" t="n"/>
    </row>
    <row r="65">
      <c r="A65" s="31" t="n"/>
      <c r="B65" s="28" t="n"/>
      <c r="C65" s="30" t="n"/>
      <c r="D65" s="28" t="n"/>
      <c r="E65" s="34">
        <f>IF(B65="","",IFERROR(INDEX(Policies!$B$2:$B$301,MATCH(B65,Policies!$A$2:$A$301,0)),"Policy # not found"))</f>
        <v/>
      </c>
      <c r="F65" s="28" t="n"/>
    </row>
    <row r="66">
      <c r="A66" s="31" t="n"/>
      <c r="B66" s="28" t="n"/>
      <c r="C66" s="30" t="n"/>
      <c r="D66" s="28" t="n"/>
      <c r="E66" s="34">
        <f>IF(B66="","",IFERROR(INDEX(Policies!$B$2:$B$301,MATCH(B66,Policies!$A$2:$A$301,0)),"Policy # not found"))</f>
        <v/>
      </c>
      <c r="F66" s="28" t="n"/>
    </row>
    <row r="67">
      <c r="A67" s="31" t="n"/>
      <c r="B67" s="28" t="n"/>
      <c r="C67" s="30" t="n"/>
      <c r="D67" s="28" t="n"/>
      <c r="E67" s="34">
        <f>IF(B67="","",IFERROR(INDEX(Policies!$B$2:$B$301,MATCH(B67,Policies!$A$2:$A$301,0)),"Policy # not found"))</f>
        <v/>
      </c>
      <c r="F67" s="28" t="n"/>
    </row>
    <row r="68">
      <c r="A68" s="31" t="n"/>
      <c r="B68" s="28" t="n"/>
      <c r="C68" s="30" t="n"/>
      <c r="D68" s="28" t="n"/>
      <c r="E68" s="34">
        <f>IF(B68="","",IFERROR(INDEX(Policies!$B$2:$B$301,MATCH(B68,Policies!$A$2:$A$301,0)),"Policy # not found"))</f>
        <v/>
      </c>
      <c r="F68" s="28" t="n"/>
    </row>
    <row r="69">
      <c r="A69" s="31" t="n"/>
      <c r="B69" s="28" t="n"/>
      <c r="C69" s="30" t="n"/>
      <c r="D69" s="28" t="n"/>
      <c r="E69" s="34">
        <f>IF(B69="","",IFERROR(INDEX(Policies!$B$2:$B$301,MATCH(B69,Policies!$A$2:$A$301,0)),"Policy # not found"))</f>
        <v/>
      </c>
      <c r="F69" s="28" t="n"/>
    </row>
    <row r="70">
      <c r="A70" s="31" t="n"/>
      <c r="B70" s="28" t="n"/>
      <c r="C70" s="30" t="n"/>
      <c r="D70" s="28" t="n"/>
      <c r="E70" s="34">
        <f>IF(B70="","",IFERROR(INDEX(Policies!$B$2:$B$301,MATCH(B70,Policies!$A$2:$A$301,0)),"Policy # not found"))</f>
        <v/>
      </c>
      <c r="F70" s="28" t="n"/>
    </row>
    <row r="71">
      <c r="A71" s="31" t="n"/>
      <c r="B71" s="28" t="n"/>
      <c r="C71" s="30" t="n"/>
      <c r="D71" s="28" t="n"/>
      <c r="E71" s="34">
        <f>IF(B71="","",IFERROR(INDEX(Policies!$B$2:$B$301,MATCH(B71,Policies!$A$2:$A$301,0)),"Policy # not found"))</f>
        <v/>
      </c>
      <c r="F71" s="28" t="n"/>
    </row>
    <row r="72">
      <c r="A72" s="31" t="n"/>
      <c r="B72" s="28" t="n"/>
      <c r="C72" s="30" t="n"/>
      <c r="D72" s="28" t="n"/>
      <c r="E72" s="34">
        <f>IF(B72="","",IFERROR(INDEX(Policies!$B$2:$B$301,MATCH(B72,Policies!$A$2:$A$301,0)),"Policy # not found"))</f>
        <v/>
      </c>
      <c r="F72" s="28" t="n"/>
    </row>
    <row r="73">
      <c r="A73" s="31" t="n"/>
      <c r="B73" s="28" t="n"/>
      <c r="C73" s="30" t="n"/>
      <c r="D73" s="28" t="n"/>
      <c r="E73" s="34">
        <f>IF(B73="","",IFERROR(INDEX(Policies!$B$2:$B$301,MATCH(B73,Policies!$A$2:$A$301,0)),"Policy # not found"))</f>
        <v/>
      </c>
      <c r="F73" s="28" t="n"/>
    </row>
    <row r="74">
      <c r="A74" s="31" t="n"/>
      <c r="B74" s="28" t="n"/>
      <c r="C74" s="30" t="n"/>
      <c r="D74" s="28" t="n"/>
      <c r="E74" s="34">
        <f>IF(B74="","",IFERROR(INDEX(Policies!$B$2:$B$301,MATCH(B74,Policies!$A$2:$A$301,0)),"Policy # not found"))</f>
        <v/>
      </c>
      <c r="F74" s="28" t="n"/>
    </row>
    <row r="75">
      <c r="A75" s="31" t="n"/>
      <c r="B75" s="28" t="n"/>
      <c r="C75" s="30" t="n"/>
      <c r="D75" s="28" t="n"/>
      <c r="E75" s="34">
        <f>IF(B75="","",IFERROR(INDEX(Policies!$B$2:$B$301,MATCH(B75,Policies!$A$2:$A$301,0)),"Policy # not found"))</f>
        <v/>
      </c>
      <c r="F75" s="28" t="n"/>
    </row>
    <row r="76">
      <c r="A76" s="31" t="n"/>
      <c r="B76" s="28" t="n"/>
      <c r="C76" s="30" t="n"/>
      <c r="D76" s="28" t="n"/>
      <c r="E76" s="34">
        <f>IF(B76="","",IFERROR(INDEX(Policies!$B$2:$B$301,MATCH(B76,Policies!$A$2:$A$301,0)),"Policy # not found"))</f>
        <v/>
      </c>
      <c r="F76" s="28" t="n"/>
    </row>
    <row r="77">
      <c r="A77" s="31" t="n"/>
      <c r="B77" s="28" t="n"/>
      <c r="C77" s="30" t="n"/>
      <c r="D77" s="28" t="n"/>
      <c r="E77" s="34">
        <f>IF(B77="","",IFERROR(INDEX(Policies!$B$2:$B$301,MATCH(B77,Policies!$A$2:$A$301,0)),"Policy # not found"))</f>
        <v/>
      </c>
      <c r="F77" s="28" t="n"/>
    </row>
    <row r="78">
      <c r="A78" s="31" t="n"/>
      <c r="B78" s="28" t="n"/>
      <c r="C78" s="30" t="n"/>
      <c r="D78" s="28" t="n"/>
      <c r="E78" s="34">
        <f>IF(B78="","",IFERROR(INDEX(Policies!$B$2:$B$301,MATCH(B78,Policies!$A$2:$A$301,0)),"Policy # not found"))</f>
        <v/>
      </c>
      <c r="F78" s="28" t="n"/>
    </row>
    <row r="79">
      <c r="A79" s="31" t="n"/>
      <c r="B79" s="28" t="n"/>
      <c r="C79" s="30" t="n"/>
      <c r="D79" s="28" t="n"/>
      <c r="E79" s="34">
        <f>IF(B79="","",IFERROR(INDEX(Policies!$B$2:$B$301,MATCH(B79,Policies!$A$2:$A$301,0)),"Policy # not found"))</f>
        <v/>
      </c>
      <c r="F79" s="28" t="n"/>
    </row>
    <row r="80">
      <c r="A80" s="31" t="n"/>
      <c r="B80" s="28" t="n"/>
      <c r="C80" s="30" t="n"/>
      <c r="D80" s="28" t="n"/>
      <c r="E80" s="34">
        <f>IF(B80="","",IFERROR(INDEX(Policies!$B$2:$B$301,MATCH(B80,Policies!$A$2:$A$301,0)),"Policy # not found"))</f>
        <v/>
      </c>
      <c r="F80" s="28" t="n"/>
    </row>
    <row r="81">
      <c r="A81" s="31" t="n"/>
      <c r="B81" s="28" t="n"/>
      <c r="C81" s="30" t="n"/>
      <c r="D81" s="28" t="n"/>
      <c r="E81" s="34">
        <f>IF(B81="","",IFERROR(INDEX(Policies!$B$2:$B$301,MATCH(B81,Policies!$A$2:$A$301,0)),"Policy # not found"))</f>
        <v/>
      </c>
      <c r="F81" s="28" t="n"/>
    </row>
    <row r="82">
      <c r="A82" s="31" t="n"/>
      <c r="B82" s="28" t="n"/>
      <c r="C82" s="30" t="n"/>
      <c r="D82" s="28" t="n"/>
      <c r="E82" s="34">
        <f>IF(B82="","",IFERROR(INDEX(Policies!$B$2:$B$301,MATCH(B82,Policies!$A$2:$A$301,0)),"Policy # not found"))</f>
        <v/>
      </c>
      <c r="F82" s="28" t="n"/>
    </row>
    <row r="83">
      <c r="A83" s="31" t="n"/>
      <c r="B83" s="28" t="n"/>
      <c r="C83" s="30" t="n"/>
      <c r="D83" s="28" t="n"/>
      <c r="E83" s="34">
        <f>IF(B83="","",IFERROR(INDEX(Policies!$B$2:$B$301,MATCH(B83,Policies!$A$2:$A$301,0)),"Policy # not found"))</f>
        <v/>
      </c>
      <c r="F83" s="28" t="n"/>
    </row>
    <row r="84">
      <c r="A84" s="31" t="n"/>
      <c r="B84" s="28" t="n"/>
      <c r="C84" s="30" t="n"/>
      <c r="D84" s="28" t="n"/>
      <c r="E84" s="34">
        <f>IF(B84="","",IFERROR(INDEX(Policies!$B$2:$B$301,MATCH(B84,Policies!$A$2:$A$301,0)),"Policy # not found"))</f>
        <v/>
      </c>
      <c r="F84" s="28" t="n"/>
    </row>
    <row r="85">
      <c r="A85" s="31" t="n"/>
      <c r="B85" s="28" t="n"/>
      <c r="C85" s="30" t="n"/>
      <c r="D85" s="28" t="n"/>
      <c r="E85" s="34">
        <f>IF(B85="","",IFERROR(INDEX(Policies!$B$2:$B$301,MATCH(B85,Policies!$A$2:$A$301,0)),"Policy # not found"))</f>
        <v/>
      </c>
      <c r="F85" s="28" t="n"/>
    </row>
    <row r="86">
      <c r="A86" s="31" t="n"/>
      <c r="B86" s="28" t="n"/>
      <c r="C86" s="30" t="n"/>
      <c r="D86" s="28" t="n"/>
      <c r="E86" s="34">
        <f>IF(B86="","",IFERROR(INDEX(Policies!$B$2:$B$301,MATCH(B86,Policies!$A$2:$A$301,0)),"Policy # not found"))</f>
        <v/>
      </c>
      <c r="F86" s="28" t="n"/>
    </row>
    <row r="87">
      <c r="A87" s="31" t="n"/>
      <c r="B87" s="28" t="n"/>
      <c r="C87" s="30" t="n"/>
      <c r="D87" s="28" t="n"/>
      <c r="E87" s="34">
        <f>IF(B87="","",IFERROR(INDEX(Policies!$B$2:$B$301,MATCH(B87,Policies!$A$2:$A$301,0)),"Policy # not found"))</f>
        <v/>
      </c>
      <c r="F87" s="28" t="n"/>
    </row>
    <row r="88">
      <c r="A88" s="31" t="n"/>
      <c r="B88" s="28" t="n"/>
      <c r="C88" s="30" t="n"/>
      <c r="D88" s="28" t="n"/>
      <c r="E88" s="34">
        <f>IF(B88="","",IFERROR(INDEX(Policies!$B$2:$B$301,MATCH(B88,Policies!$A$2:$A$301,0)),"Policy # not found"))</f>
        <v/>
      </c>
      <c r="F88" s="28" t="n"/>
    </row>
    <row r="89">
      <c r="A89" s="31" t="n"/>
      <c r="B89" s="28" t="n"/>
      <c r="C89" s="30" t="n"/>
      <c r="D89" s="28" t="n"/>
      <c r="E89" s="34">
        <f>IF(B89="","",IFERROR(INDEX(Policies!$B$2:$B$301,MATCH(B89,Policies!$A$2:$A$301,0)),"Policy # not found"))</f>
        <v/>
      </c>
      <c r="F89" s="28" t="n"/>
    </row>
    <row r="90">
      <c r="A90" s="31" t="n"/>
      <c r="B90" s="28" t="n"/>
      <c r="C90" s="30" t="n"/>
      <c r="D90" s="28" t="n"/>
      <c r="E90" s="34">
        <f>IF(B90="","",IFERROR(INDEX(Policies!$B$2:$B$301,MATCH(B90,Policies!$A$2:$A$301,0)),"Policy # not found"))</f>
        <v/>
      </c>
      <c r="F90" s="28" t="n"/>
    </row>
    <row r="91">
      <c r="A91" s="31" t="n"/>
      <c r="B91" s="28" t="n"/>
      <c r="C91" s="30" t="n"/>
      <c r="D91" s="28" t="n"/>
      <c r="E91" s="34">
        <f>IF(B91="","",IFERROR(INDEX(Policies!$B$2:$B$301,MATCH(B91,Policies!$A$2:$A$301,0)),"Policy # not found"))</f>
        <v/>
      </c>
      <c r="F91" s="28" t="n"/>
    </row>
    <row r="92">
      <c r="A92" s="31" t="n"/>
      <c r="B92" s="28" t="n"/>
      <c r="C92" s="30" t="n"/>
      <c r="D92" s="28" t="n"/>
      <c r="E92" s="34">
        <f>IF(B92="","",IFERROR(INDEX(Policies!$B$2:$B$301,MATCH(B92,Policies!$A$2:$A$301,0)),"Policy # not found"))</f>
        <v/>
      </c>
      <c r="F92" s="28" t="n"/>
    </row>
    <row r="93">
      <c r="A93" s="31" t="n"/>
      <c r="B93" s="28" t="n"/>
      <c r="C93" s="30" t="n"/>
      <c r="D93" s="28" t="n"/>
      <c r="E93" s="34">
        <f>IF(B93="","",IFERROR(INDEX(Policies!$B$2:$B$301,MATCH(B93,Policies!$A$2:$A$301,0)),"Policy # not found"))</f>
        <v/>
      </c>
      <c r="F93" s="28" t="n"/>
    </row>
    <row r="94">
      <c r="A94" s="31" t="n"/>
      <c r="B94" s="28" t="n"/>
      <c r="C94" s="30" t="n"/>
      <c r="D94" s="28" t="n"/>
      <c r="E94" s="34">
        <f>IF(B94="","",IFERROR(INDEX(Policies!$B$2:$B$301,MATCH(B94,Policies!$A$2:$A$301,0)),"Policy # not found"))</f>
        <v/>
      </c>
      <c r="F94" s="28" t="n"/>
    </row>
    <row r="95">
      <c r="A95" s="31" t="n"/>
      <c r="B95" s="28" t="n"/>
      <c r="C95" s="30" t="n"/>
      <c r="D95" s="28" t="n"/>
      <c r="E95" s="34">
        <f>IF(B95="","",IFERROR(INDEX(Policies!$B$2:$B$301,MATCH(B95,Policies!$A$2:$A$301,0)),"Policy # not found"))</f>
        <v/>
      </c>
      <c r="F95" s="28" t="n"/>
    </row>
    <row r="96">
      <c r="A96" s="31" t="n"/>
      <c r="B96" s="28" t="n"/>
      <c r="C96" s="30" t="n"/>
      <c r="D96" s="28" t="n"/>
      <c r="E96" s="34">
        <f>IF(B96="","",IFERROR(INDEX(Policies!$B$2:$B$301,MATCH(B96,Policies!$A$2:$A$301,0)),"Policy # not found"))</f>
        <v/>
      </c>
      <c r="F96" s="28" t="n"/>
    </row>
    <row r="97">
      <c r="A97" s="31" t="n"/>
      <c r="B97" s="28" t="n"/>
      <c r="C97" s="30" t="n"/>
      <c r="D97" s="28" t="n"/>
      <c r="E97" s="34">
        <f>IF(B97="","",IFERROR(INDEX(Policies!$B$2:$B$301,MATCH(B97,Policies!$A$2:$A$301,0)),"Policy # not found"))</f>
        <v/>
      </c>
      <c r="F97" s="28" t="n"/>
    </row>
    <row r="98">
      <c r="A98" s="31" t="n"/>
      <c r="B98" s="28" t="n"/>
      <c r="C98" s="30" t="n"/>
      <c r="D98" s="28" t="n"/>
      <c r="E98" s="34">
        <f>IF(B98="","",IFERROR(INDEX(Policies!$B$2:$B$301,MATCH(B98,Policies!$A$2:$A$301,0)),"Policy # not found"))</f>
        <v/>
      </c>
      <c r="F98" s="28" t="n"/>
    </row>
    <row r="99">
      <c r="A99" s="31" t="n"/>
      <c r="B99" s="28" t="n"/>
      <c r="C99" s="30" t="n"/>
      <c r="D99" s="28" t="n"/>
      <c r="E99" s="34">
        <f>IF(B99="","",IFERROR(INDEX(Policies!$B$2:$B$301,MATCH(B99,Policies!$A$2:$A$301,0)),"Policy # not found"))</f>
        <v/>
      </c>
      <c r="F99" s="28" t="n"/>
    </row>
    <row r="100">
      <c r="A100" s="31" t="n"/>
      <c r="B100" s="28" t="n"/>
      <c r="C100" s="30" t="n"/>
      <c r="D100" s="28" t="n"/>
      <c r="E100" s="34">
        <f>IF(B100="","",IFERROR(INDEX(Policies!$B$2:$B$301,MATCH(B100,Policies!$A$2:$A$301,0)),"Policy # not found"))</f>
        <v/>
      </c>
      <c r="F100" s="28" t="n"/>
    </row>
    <row r="101">
      <c r="A101" s="31" t="n"/>
      <c r="B101" s="28" t="n"/>
      <c r="C101" s="30" t="n"/>
      <c r="D101" s="28" t="n"/>
      <c r="E101" s="34">
        <f>IF(B101="","",IFERROR(INDEX(Policies!$B$2:$B$301,MATCH(B101,Policies!$A$2:$A$301,0)),"Policy # not found"))</f>
        <v/>
      </c>
      <c r="F101" s="28" t="n"/>
    </row>
    <row r="102">
      <c r="A102" s="31" t="n"/>
      <c r="B102" s="28" t="n"/>
      <c r="C102" s="30" t="n"/>
      <c r="D102" s="28" t="n"/>
      <c r="E102" s="34">
        <f>IF(B102="","",IFERROR(INDEX(Policies!$B$2:$B$301,MATCH(B102,Policies!$A$2:$A$301,0)),"Policy # not found"))</f>
        <v/>
      </c>
      <c r="F102" s="28" t="n"/>
    </row>
    <row r="103">
      <c r="A103" s="31" t="n"/>
      <c r="B103" s="28" t="n"/>
      <c r="C103" s="30" t="n"/>
      <c r="D103" s="28" t="n"/>
      <c r="E103" s="34">
        <f>IF(B103="","",IFERROR(INDEX(Policies!$B$2:$B$301,MATCH(B103,Policies!$A$2:$A$301,0)),"Policy # not found"))</f>
        <v/>
      </c>
      <c r="F103" s="28" t="n"/>
    </row>
    <row r="104">
      <c r="A104" s="31" t="n"/>
      <c r="B104" s="28" t="n"/>
      <c r="C104" s="30" t="n"/>
      <c r="D104" s="28" t="n"/>
      <c r="E104" s="34">
        <f>IF(B104="","",IFERROR(INDEX(Policies!$B$2:$B$301,MATCH(B104,Policies!$A$2:$A$301,0)),"Policy # not found"))</f>
        <v/>
      </c>
      <c r="F104" s="28" t="n"/>
    </row>
    <row r="105">
      <c r="A105" s="31" t="n"/>
      <c r="B105" s="28" t="n"/>
      <c r="C105" s="30" t="n"/>
      <c r="D105" s="28" t="n"/>
      <c r="E105" s="34">
        <f>IF(B105="","",IFERROR(INDEX(Policies!$B$2:$B$301,MATCH(B105,Policies!$A$2:$A$301,0)),"Policy # not found"))</f>
        <v/>
      </c>
      <c r="F105" s="28" t="n"/>
    </row>
    <row r="106">
      <c r="A106" s="31" t="n"/>
      <c r="B106" s="28" t="n"/>
      <c r="C106" s="30" t="n"/>
      <c r="D106" s="28" t="n"/>
      <c r="E106" s="34">
        <f>IF(B106="","",IFERROR(INDEX(Policies!$B$2:$B$301,MATCH(B106,Policies!$A$2:$A$301,0)),"Policy # not found"))</f>
        <v/>
      </c>
      <c r="F106" s="28" t="n"/>
    </row>
    <row r="107">
      <c r="A107" s="31" t="n"/>
      <c r="B107" s="28" t="n"/>
      <c r="C107" s="30" t="n"/>
      <c r="D107" s="28" t="n"/>
      <c r="E107" s="34">
        <f>IF(B107="","",IFERROR(INDEX(Policies!$B$2:$B$301,MATCH(B107,Policies!$A$2:$A$301,0)),"Policy # not found"))</f>
        <v/>
      </c>
      <c r="F107" s="28" t="n"/>
    </row>
    <row r="108">
      <c r="A108" s="31" t="n"/>
      <c r="B108" s="28" t="n"/>
      <c r="C108" s="30" t="n"/>
      <c r="D108" s="28" t="n"/>
      <c r="E108" s="34">
        <f>IF(B108="","",IFERROR(INDEX(Policies!$B$2:$B$301,MATCH(B108,Policies!$A$2:$A$301,0)),"Policy # not found"))</f>
        <v/>
      </c>
      <c r="F108" s="28" t="n"/>
    </row>
    <row r="109">
      <c r="A109" s="31" t="n"/>
      <c r="B109" s="28" t="n"/>
      <c r="C109" s="30" t="n"/>
      <c r="D109" s="28" t="n"/>
      <c r="E109" s="34">
        <f>IF(B109="","",IFERROR(INDEX(Policies!$B$2:$B$301,MATCH(B109,Policies!$A$2:$A$301,0)),"Policy # not found"))</f>
        <v/>
      </c>
      <c r="F109" s="28" t="n"/>
    </row>
    <row r="110">
      <c r="A110" s="31" t="n"/>
      <c r="B110" s="28" t="n"/>
      <c r="C110" s="30" t="n"/>
      <c r="D110" s="28" t="n"/>
      <c r="E110" s="34">
        <f>IF(B110="","",IFERROR(INDEX(Policies!$B$2:$B$301,MATCH(B110,Policies!$A$2:$A$301,0)),"Policy # not found"))</f>
        <v/>
      </c>
      <c r="F110" s="28" t="n"/>
    </row>
    <row r="111">
      <c r="A111" s="31" t="n"/>
      <c r="B111" s="28" t="n"/>
      <c r="C111" s="30" t="n"/>
      <c r="D111" s="28" t="n"/>
      <c r="E111" s="34">
        <f>IF(B111="","",IFERROR(INDEX(Policies!$B$2:$B$301,MATCH(B111,Policies!$A$2:$A$301,0)),"Policy # not found"))</f>
        <v/>
      </c>
      <c r="F111" s="28" t="n"/>
    </row>
    <row r="112">
      <c r="A112" s="31" t="n"/>
      <c r="B112" s="28" t="n"/>
      <c r="C112" s="30" t="n"/>
      <c r="D112" s="28" t="n"/>
      <c r="E112" s="34">
        <f>IF(B112="","",IFERROR(INDEX(Policies!$B$2:$B$301,MATCH(B112,Policies!$A$2:$A$301,0)),"Policy # not found"))</f>
        <v/>
      </c>
      <c r="F112" s="28" t="n"/>
    </row>
    <row r="113">
      <c r="A113" s="31" t="n"/>
      <c r="B113" s="28" t="n"/>
      <c r="C113" s="30" t="n"/>
      <c r="D113" s="28" t="n"/>
      <c r="E113" s="34">
        <f>IF(B113="","",IFERROR(INDEX(Policies!$B$2:$B$301,MATCH(B113,Policies!$A$2:$A$301,0)),"Policy # not found"))</f>
        <v/>
      </c>
      <c r="F113" s="28" t="n"/>
    </row>
    <row r="114">
      <c r="A114" s="31" t="n"/>
      <c r="B114" s="28" t="n"/>
      <c r="C114" s="30" t="n"/>
      <c r="D114" s="28" t="n"/>
      <c r="E114" s="34">
        <f>IF(B114="","",IFERROR(INDEX(Policies!$B$2:$B$301,MATCH(B114,Policies!$A$2:$A$301,0)),"Policy # not found"))</f>
        <v/>
      </c>
      <c r="F114" s="28" t="n"/>
    </row>
    <row r="115">
      <c r="A115" s="31" t="n"/>
      <c r="B115" s="28" t="n"/>
      <c r="C115" s="30" t="n"/>
      <c r="D115" s="28" t="n"/>
      <c r="E115" s="34">
        <f>IF(B115="","",IFERROR(INDEX(Policies!$B$2:$B$301,MATCH(B115,Policies!$A$2:$A$301,0)),"Policy # not found"))</f>
        <v/>
      </c>
      <c r="F115" s="28" t="n"/>
    </row>
    <row r="116">
      <c r="A116" s="31" t="n"/>
      <c r="B116" s="28" t="n"/>
      <c r="C116" s="30" t="n"/>
      <c r="D116" s="28" t="n"/>
      <c r="E116" s="34">
        <f>IF(B116="","",IFERROR(INDEX(Policies!$B$2:$B$301,MATCH(B116,Policies!$A$2:$A$301,0)),"Policy # not found"))</f>
        <v/>
      </c>
      <c r="F116" s="28" t="n"/>
    </row>
    <row r="117">
      <c r="A117" s="31" t="n"/>
      <c r="B117" s="28" t="n"/>
      <c r="C117" s="30" t="n"/>
      <c r="D117" s="28" t="n"/>
      <c r="E117" s="34">
        <f>IF(B117="","",IFERROR(INDEX(Policies!$B$2:$B$301,MATCH(B117,Policies!$A$2:$A$301,0)),"Policy # not found"))</f>
        <v/>
      </c>
      <c r="F117" s="28" t="n"/>
    </row>
    <row r="118">
      <c r="A118" s="31" t="n"/>
      <c r="B118" s="28" t="n"/>
      <c r="C118" s="30" t="n"/>
      <c r="D118" s="28" t="n"/>
      <c r="E118" s="34">
        <f>IF(B118="","",IFERROR(INDEX(Policies!$B$2:$B$301,MATCH(B118,Policies!$A$2:$A$301,0)),"Policy # not found"))</f>
        <v/>
      </c>
      <c r="F118" s="28" t="n"/>
    </row>
    <row r="119">
      <c r="A119" s="31" t="n"/>
      <c r="B119" s="28" t="n"/>
      <c r="C119" s="30" t="n"/>
      <c r="D119" s="28" t="n"/>
      <c r="E119" s="34">
        <f>IF(B119="","",IFERROR(INDEX(Policies!$B$2:$B$301,MATCH(B119,Policies!$A$2:$A$301,0)),"Policy # not found"))</f>
        <v/>
      </c>
      <c r="F119" s="28" t="n"/>
    </row>
    <row r="120">
      <c r="A120" s="31" t="n"/>
      <c r="B120" s="28" t="n"/>
      <c r="C120" s="30" t="n"/>
      <c r="D120" s="28" t="n"/>
      <c r="E120" s="34">
        <f>IF(B120="","",IFERROR(INDEX(Policies!$B$2:$B$301,MATCH(B120,Policies!$A$2:$A$301,0)),"Policy # not found"))</f>
        <v/>
      </c>
      <c r="F120" s="28" t="n"/>
    </row>
    <row r="121">
      <c r="A121" s="31" t="n"/>
      <c r="B121" s="28" t="n"/>
      <c r="C121" s="30" t="n"/>
      <c r="D121" s="28" t="n"/>
      <c r="E121" s="34">
        <f>IF(B121="","",IFERROR(INDEX(Policies!$B$2:$B$301,MATCH(B121,Policies!$A$2:$A$301,0)),"Policy # not found"))</f>
        <v/>
      </c>
      <c r="F121" s="28" t="n"/>
    </row>
    <row r="122">
      <c r="A122" s="31" t="n"/>
      <c r="B122" s="28" t="n"/>
      <c r="C122" s="30" t="n"/>
      <c r="D122" s="28" t="n"/>
      <c r="E122" s="34">
        <f>IF(B122="","",IFERROR(INDEX(Policies!$B$2:$B$301,MATCH(B122,Policies!$A$2:$A$301,0)),"Policy # not found"))</f>
        <v/>
      </c>
      <c r="F122" s="28" t="n"/>
    </row>
    <row r="123">
      <c r="A123" s="31" t="n"/>
      <c r="B123" s="28" t="n"/>
      <c r="C123" s="30" t="n"/>
      <c r="D123" s="28" t="n"/>
      <c r="E123" s="34">
        <f>IF(B123="","",IFERROR(INDEX(Policies!$B$2:$B$301,MATCH(B123,Policies!$A$2:$A$301,0)),"Policy # not found"))</f>
        <v/>
      </c>
      <c r="F123" s="28" t="n"/>
    </row>
    <row r="124">
      <c r="A124" s="31" t="n"/>
      <c r="B124" s="28" t="n"/>
      <c r="C124" s="30" t="n"/>
      <c r="D124" s="28" t="n"/>
      <c r="E124" s="34">
        <f>IF(B124="","",IFERROR(INDEX(Policies!$B$2:$B$301,MATCH(B124,Policies!$A$2:$A$301,0)),"Policy # not found"))</f>
        <v/>
      </c>
      <c r="F124" s="28" t="n"/>
    </row>
    <row r="125">
      <c r="A125" s="31" t="n"/>
      <c r="B125" s="28" t="n"/>
      <c r="C125" s="30" t="n"/>
      <c r="D125" s="28" t="n"/>
      <c r="E125" s="34">
        <f>IF(B125="","",IFERROR(INDEX(Policies!$B$2:$B$301,MATCH(B125,Policies!$A$2:$A$301,0)),"Policy # not found"))</f>
        <v/>
      </c>
      <c r="F125" s="28" t="n"/>
    </row>
    <row r="126">
      <c r="A126" s="31" t="n"/>
      <c r="B126" s="28" t="n"/>
      <c r="C126" s="30" t="n"/>
      <c r="D126" s="28" t="n"/>
      <c r="E126" s="34">
        <f>IF(B126="","",IFERROR(INDEX(Policies!$B$2:$B$301,MATCH(B126,Policies!$A$2:$A$301,0)),"Policy # not found"))</f>
        <v/>
      </c>
      <c r="F126" s="28" t="n"/>
    </row>
    <row r="127">
      <c r="A127" s="31" t="n"/>
      <c r="B127" s="28" t="n"/>
      <c r="C127" s="30" t="n"/>
      <c r="D127" s="28" t="n"/>
      <c r="E127" s="34">
        <f>IF(B127="","",IFERROR(INDEX(Policies!$B$2:$B$301,MATCH(B127,Policies!$A$2:$A$301,0)),"Policy # not found"))</f>
        <v/>
      </c>
      <c r="F127" s="28" t="n"/>
    </row>
    <row r="128">
      <c r="A128" s="31" t="n"/>
      <c r="B128" s="28" t="n"/>
      <c r="C128" s="30" t="n"/>
      <c r="D128" s="28" t="n"/>
      <c r="E128" s="34">
        <f>IF(B128="","",IFERROR(INDEX(Policies!$B$2:$B$301,MATCH(B128,Policies!$A$2:$A$301,0)),"Policy # not found"))</f>
        <v/>
      </c>
      <c r="F128" s="28" t="n"/>
    </row>
    <row r="129">
      <c r="A129" s="31" t="n"/>
      <c r="B129" s="28" t="n"/>
      <c r="C129" s="30" t="n"/>
      <c r="D129" s="28" t="n"/>
      <c r="E129" s="34">
        <f>IF(B129="","",IFERROR(INDEX(Policies!$B$2:$B$301,MATCH(B129,Policies!$A$2:$A$301,0)),"Policy # not found"))</f>
        <v/>
      </c>
      <c r="F129" s="28" t="n"/>
    </row>
    <row r="130">
      <c r="A130" s="31" t="n"/>
      <c r="B130" s="28" t="n"/>
      <c r="C130" s="30" t="n"/>
      <c r="D130" s="28" t="n"/>
      <c r="E130" s="34">
        <f>IF(B130="","",IFERROR(INDEX(Policies!$B$2:$B$301,MATCH(B130,Policies!$A$2:$A$301,0)),"Policy # not found"))</f>
        <v/>
      </c>
      <c r="F130" s="28" t="n"/>
    </row>
    <row r="131">
      <c r="A131" s="31" t="n"/>
      <c r="B131" s="28" t="n"/>
      <c r="C131" s="30" t="n"/>
      <c r="D131" s="28" t="n"/>
      <c r="E131" s="34">
        <f>IF(B131="","",IFERROR(INDEX(Policies!$B$2:$B$301,MATCH(B131,Policies!$A$2:$A$301,0)),"Policy # not found"))</f>
        <v/>
      </c>
      <c r="F131" s="28" t="n"/>
    </row>
    <row r="132">
      <c r="A132" s="31" t="n"/>
      <c r="B132" s="28" t="n"/>
      <c r="C132" s="30" t="n"/>
      <c r="D132" s="28" t="n"/>
      <c r="E132" s="34">
        <f>IF(B132="","",IFERROR(INDEX(Policies!$B$2:$B$301,MATCH(B132,Policies!$A$2:$A$301,0)),"Policy # not found"))</f>
        <v/>
      </c>
      <c r="F132" s="28" t="n"/>
    </row>
    <row r="133">
      <c r="A133" s="31" t="n"/>
      <c r="B133" s="28" t="n"/>
      <c r="C133" s="30" t="n"/>
      <c r="D133" s="28" t="n"/>
      <c r="E133" s="34">
        <f>IF(B133="","",IFERROR(INDEX(Policies!$B$2:$B$301,MATCH(B133,Policies!$A$2:$A$301,0)),"Policy # not found"))</f>
        <v/>
      </c>
      <c r="F133" s="28" t="n"/>
    </row>
    <row r="134">
      <c r="A134" s="31" t="n"/>
      <c r="B134" s="28" t="n"/>
      <c r="C134" s="30" t="n"/>
      <c r="D134" s="28" t="n"/>
      <c r="E134" s="34">
        <f>IF(B134="","",IFERROR(INDEX(Policies!$B$2:$B$301,MATCH(B134,Policies!$A$2:$A$301,0)),"Policy # not found"))</f>
        <v/>
      </c>
      <c r="F134" s="28" t="n"/>
    </row>
    <row r="135">
      <c r="A135" s="31" t="n"/>
      <c r="B135" s="28" t="n"/>
      <c r="C135" s="30" t="n"/>
      <c r="D135" s="28" t="n"/>
      <c r="E135" s="34">
        <f>IF(B135="","",IFERROR(INDEX(Policies!$B$2:$B$301,MATCH(B135,Policies!$A$2:$A$301,0)),"Policy # not found"))</f>
        <v/>
      </c>
      <c r="F135" s="28" t="n"/>
    </row>
    <row r="136">
      <c r="A136" s="31" t="n"/>
      <c r="B136" s="28" t="n"/>
      <c r="C136" s="30" t="n"/>
      <c r="D136" s="28" t="n"/>
      <c r="E136" s="34">
        <f>IF(B136="","",IFERROR(INDEX(Policies!$B$2:$B$301,MATCH(B136,Policies!$A$2:$A$301,0)),"Policy # not found"))</f>
        <v/>
      </c>
      <c r="F136" s="28" t="n"/>
    </row>
    <row r="137">
      <c r="A137" s="31" t="n"/>
      <c r="B137" s="28" t="n"/>
      <c r="C137" s="30" t="n"/>
      <c r="D137" s="28" t="n"/>
      <c r="E137" s="34">
        <f>IF(B137="","",IFERROR(INDEX(Policies!$B$2:$B$301,MATCH(B137,Policies!$A$2:$A$301,0)),"Policy # not found"))</f>
        <v/>
      </c>
      <c r="F137" s="28" t="n"/>
    </row>
    <row r="138">
      <c r="A138" s="31" t="n"/>
      <c r="B138" s="28" t="n"/>
      <c r="C138" s="30" t="n"/>
      <c r="D138" s="28" t="n"/>
      <c r="E138" s="34">
        <f>IF(B138="","",IFERROR(INDEX(Policies!$B$2:$B$301,MATCH(B138,Policies!$A$2:$A$301,0)),"Policy # not found"))</f>
        <v/>
      </c>
      <c r="F138" s="28" t="n"/>
    </row>
    <row r="139">
      <c r="A139" s="31" t="n"/>
      <c r="B139" s="28" t="n"/>
      <c r="C139" s="30" t="n"/>
      <c r="D139" s="28" t="n"/>
      <c r="E139" s="34">
        <f>IF(B139="","",IFERROR(INDEX(Policies!$B$2:$B$301,MATCH(B139,Policies!$A$2:$A$301,0)),"Policy # not found"))</f>
        <v/>
      </c>
      <c r="F139" s="28" t="n"/>
    </row>
    <row r="140">
      <c r="A140" s="31" t="n"/>
      <c r="B140" s="28" t="n"/>
      <c r="C140" s="30" t="n"/>
      <c r="D140" s="28" t="n"/>
      <c r="E140" s="34">
        <f>IF(B140="","",IFERROR(INDEX(Policies!$B$2:$B$301,MATCH(B140,Policies!$A$2:$A$301,0)),"Policy # not found"))</f>
        <v/>
      </c>
      <c r="F140" s="28" t="n"/>
    </row>
    <row r="141">
      <c r="A141" s="31" t="n"/>
      <c r="B141" s="28" t="n"/>
      <c r="C141" s="30" t="n"/>
      <c r="D141" s="28" t="n"/>
      <c r="E141" s="34">
        <f>IF(B141="","",IFERROR(INDEX(Policies!$B$2:$B$301,MATCH(B141,Policies!$A$2:$A$301,0)),"Policy # not found"))</f>
        <v/>
      </c>
      <c r="F141" s="28" t="n"/>
    </row>
    <row r="142">
      <c r="A142" s="31" t="n"/>
      <c r="B142" s="28" t="n"/>
      <c r="C142" s="30" t="n"/>
      <c r="D142" s="28" t="n"/>
      <c r="E142" s="34">
        <f>IF(B142="","",IFERROR(INDEX(Policies!$B$2:$B$301,MATCH(B142,Policies!$A$2:$A$301,0)),"Policy # not found"))</f>
        <v/>
      </c>
      <c r="F142" s="28" t="n"/>
    </row>
    <row r="143">
      <c r="A143" s="31" t="n"/>
      <c r="B143" s="28" t="n"/>
      <c r="C143" s="30" t="n"/>
      <c r="D143" s="28" t="n"/>
      <c r="E143" s="34">
        <f>IF(B143="","",IFERROR(INDEX(Policies!$B$2:$B$301,MATCH(B143,Policies!$A$2:$A$301,0)),"Policy # not found"))</f>
        <v/>
      </c>
      <c r="F143" s="28" t="n"/>
    </row>
    <row r="144">
      <c r="A144" s="31" t="n"/>
      <c r="B144" s="28" t="n"/>
      <c r="C144" s="30" t="n"/>
      <c r="D144" s="28" t="n"/>
      <c r="E144" s="34">
        <f>IF(B144="","",IFERROR(INDEX(Policies!$B$2:$B$301,MATCH(B144,Policies!$A$2:$A$301,0)),"Policy # not found"))</f>
        <v/>
      </c>
      <c r="F144" s="28" t="n"/>
    </row>
    <row r="145">
      <c r="A145" s="31" t="n"/>
      <c r="B145" s="28" t="n"/>
      <c r="C145" s="30" t="n"/>
      <c r="D145" s="28" t="n"/>
      <c r="E145" s="34">
        <f>IF(B145="","",IFERROR(INDEX(Policies!$B$2:$B$301,MATCH(B145,Policies!$A$2:$A$301,0)),"Policy # not found"))</f>
        <v/>
      </c>
      <c r="F145" s="28" t="n"/>
    </row>
    <row r="146">
      <c r="A146" s="31" t="n"/>
      <c r="B146" s="28" t="n"/>
      <c r="C146" s="30" t="n"/>
      <c r="D146" s="28" t="n"/>
      <c r="E146" s="34">
        <f>IF(B146="","",IFERROR(INDEX(Policies!$B$2:$B$301,MATCH(B146,Policies!$A$2:$A$301,0)),"Policy # not found"))</f>
        <v/>
      </c>
      <c r="F146" s="28" t="n"/>
    </row>
    <row r="147">
      <c r="A147" s="31" t="n"/>
      <c r="B147" s="28" t="n"/>
      <c r="C147" s="30" t="n"/>
      <c r="D147" s="28" t="n"/>
      <c r="E147" s="34">
        <f>IF(B147="","",IFERROR(INDEX(Policies!$B$2:$B$301,MATCH(B147,Policies!$A$2:$A$301,0)),"Policy # not found"))</f>
        <v/>
      </c>
      <c r="F147" s="28" t="n"/>
    </row>
    <row r="148">
      <c r="A148" s="31" t="n"/>
      <c r="B148" s="28" t="n"/>
      <c r="C148" s="30" t="n"/>
      <c r="D148" s="28" t="n"/>
      <c r="E148" s="34">
        <f>IF(B148="","",IFERROR(INDEX(Policies!$B$2:$B$301,MATCH(B148,Policies!$A$2:$A$301,0)),"Policy # not found"))</f>
        <v/>
      </c>
      <c r="F148" s="28" t="n"/>
    </row>
    <row r="149">
      <c r="A149" s="31" t="n"/>
      <c r="B149" s="28" t="n"/>
      <c r="C149" s="30" t="n"/>
      <c r="D149" s="28" t="n"/>
      <c r="E149" s="34">
        <f>IF(B149="","",IFERROR(INDEX(Policies!$B$2:$B$301,MATCH(B149,Policies!$A$2:$A$301,0)),"Policy # not found"))</f>
        <v/>
      </c>
      <c r="F149" s="28" t="n"/>
    </row>
    <row r="150">
      <c r="A150" s="31" t="n"/>
      <c r="B150" s="28" t="n"/>
      <c r="C150" s="30" t="n"/>
      <c r="D150" s="28" t="n"/>
      <c r="E150" s="34">
        <f>IF(B150="","",IFERROR(INDEX(Policies!$B$2:$B$301,MATCH(B150,Policies!$A$2:$A$301,0)),"Policy # not found"))</f>
        <v/>
      </c>
      <c r="F150" s="28" t="n"/>
    </row>
    <row r="151">
      <c r="A151" s="31" t="n"/>
      <c r="B151" s="28" t="n"/>
      <c r="C151" s="30" t="n"/>
      <c r="D151" s="28" t="n"/>
      <c r="E151" s="34">
        <f>IF(B151="","",IFERROR(INDEX(Policies!$B$2:$B$301,MATCH(B151,Policies!$A$2:$A$301,0)),"Policy # not found"))</f>
        <v/>
      </c>
      <c r="F151" s="28" t="n"/>
    </row>
    <row r="152">
      <c r="A152" s="31" t="n"/>
      <c r="B152" s="28" t="n"/>
      <c r="C152" s="30" t="n"/>
      <c r="D152" s="28" t="n"/>
      <c r="E152" s="34">
        <f>IF(B152="","",IFERROR(INDEX(Policies!$B$2:$B$301,MATCH(B152,Policies!$A$2:$A$301,0)),"Policy # not found"))</f>
        <v/>
      </c>
      <c r="F152" s="28" t="n"/>
    </row>
    <row r="153">
      <c r="A153" s="31" t="n"/>
      <c r="B153" s="28" t="n"/>
      <c r="C153" s="30" t="n"/>
      <c r="D153" s="28" t="n"/>
      <c r="E153" s="34">
        <f>IF(B153="","",IFERROR(INDEX(Policies!$B$2:$B$301,MATCH(B153,Policies!$A$2:$A$301,0)),"Policy # not found"))</f>
        <v/>
      </c>
      <c r="F153" s="28" t="n"/>
    </row>
    <row r="154">
      <c r="A154" s="31" t="n"/>
      <c r="B154" s="28" t="n"/>
      <c r="C154" s="30" t="n"/>
      <c r="D154" s="28" t="n"/>
      <c r="E154" s="34">
        <f>IF(B154="","",IFERROR(INDEX(Policies!$B$2:$B$301,MATCH(B154,Policies!$A$2:$A$301,0)),"Policy # not found"))</f>
        <v/>
      </c>
      <c r="F154" s="28" t="n"/>
    </row>
    <row r="155">
      <c r="A155" s="31" t="n"/>
      <c r="B155" s="28" t="n"/>
      <c r="C155" s="30" t="n"/>
      <c r="D155" s="28" t="n"/>
      <c r="E155" s="34">
        <f>IF(B155="","",IFERROR(INDEX(Policies!$B$2:$B$301,MATCH(B155,Policies!$A$2:$A$301,0)),"Policy # not found"))</f>
        <v/>
      </c>
      <c r="F155" s="28" t="n"/>
    </row>
    <row r="156">
      <c r="A156" s="31" t="n"/>
      <c r="B156" s="28" t="n"/>
      <c r="C156" s="30" t="n"/>
      <c r="D156" s="28" t="n"/>
      <c r="E156" s="34">
        <f>IF(B156="","",IFERROR(INDEX(Policies!$B$2:$B$301,MATCH(B156,Policies!$A$2:$A$301,0)),"Policy # not found"))</f>
        <v/>
      </c>
      <c r="F156" s="28" t="n"/>
    </row>
    <row r="157">
      <c r="A157" s="31" t="n"/>
      <c r="B157" s="28" t="n"/>
      <c r="C157" s="30" t="n"/>
      <c r="D157" s="28" t="n"/>
      <c r="E157" s="34">
        <f>IF(B157="","",IFERROR(INDEX(Policies!$B$2:$B$301,MATCH(B157,Policies!$A$2:$A$301,0)),"Policy # not found"))</f>
        <v/>
      </c>
      <c r="F157" s="28" t="n"/>
    </row>
    <row r="158">
      <c r="A158" s="31" t="n"/>
      <c r="B158" s="28" t="n"/>
      <c r="C158" s="30" t="n"/>
      <c r="D158" s="28" t="n"/>
      <c r="E158" s="34">
        <f>IF(B158="","",IFERROR(INDEX(Policies!$B$2:$B$301,MATCH(B158,Policies!$A$2:$A$301,0)),"Policy # not found"))</f>
        <v/>
      </c>
      <c r="F158" s="28" t="n"/>
    </row>
    <row r="159">
      <c r="A159" s="31" t="n"/>
      <c r="B159" s="28" t="n"/>
      <c r="C159" s="30" t="n"/>
      <c r="D159" s="28" t="n"/>
      <c r="E159" s="34">
        <f>IF(B159="","",IFERROR(INDEX(Policies!$B$2:$B$301,MATCH(B159,Policies!$A$2:$A$301,0)),"Policy # not found"))</f>
        <v/>
      </c>
      <c r="F159" s="28" t="n"/>
    </row>
    <row r="160">
      <c r="A160" s="31" t="n"/>
      <c r="B160" s="28" t="n"/>
      <c r="C160" s="30" t="n"/>
      <c r="D160" s="28" t="n"/>
      <c r="E160" s="34">
        <f>IF(B160="","",IFERROR(INDEX(Policies!$B$2:$B$301,MATCH(B160,Policies!$A$2:$A$301,0)),"Policy # not found"))</f>
        <v/>
      </c>
      <c r="F160" s="28" t="n"/>
    </row>
    <row r="161">
      <c r="A161" s="31" t="n"/>
      <c r="B161" s="28" t="n"/>
      <c r="C161" s="30" t="n"/>
      <c r="D161" s="28" t="n"/>
      <c r="E161" s="34">
        <f>IF(B161="","",IFERROR(INDEX(Policies!$B$2:$B$301,MATCH(B161,Policies!$A$2:$A$301,0)),"Policy # not found"))</f>
        <v/>
      </c>
      <c r="F161" s="28" t="n"/>
    </row>
    <row r="162">
      <c r="A162" s="31" t="n"/>
      <c r="B162" s="28" t="n"/>
      <c r="C162" s="30" t="n"/>
      <c r="D162" s="28" t="n"/>
      <c r="E162" s="34">
        <f>IF(B162="","",IFERROR(INDEX(Policies!$B$2:$B$301,MATCH(B162,Policies!$A$2:$A$301,0)),"Policy # not found"))</f>
        <v/>
      </c>
      <c r="F162" s="28" t="n"/>
    </row>
    <row r="163">
      <c r="A163" s="31" t="n"/>
      <c r="B163" s="28" t="n"/>
      <c r="C163" s="30" t="n"/>
      <c r="D163" s="28" t="n"/>
      <c r="E163" s="34">
        <f>IF(B163="","",IFERROR(INDEX(Policies!$B$2:$B$301,MATCH(B163,Policies!$A$2:$A$301,0)),"Policy # not found"))</f>
        <v/>
      </c>
      <c r="F163" s="28" t="n"/>
    </row>
    <row r="164">
      <c r="A164" s="31" t="n"/>
      <c r="B164" s="28" t="n"/>
      <c r="C164" s="30" t="n"/>
      <c r="D164" s="28" t="n"/>
      <c r="E164" s="34">
        <f>IF(B164="","",IFERROR(INDEX(Policies!$B$2:$B$301,MATCH(B164,Policies!$A$2:$A$301,0)),"Policy # not found"))</f>
        <v/>
      </c>
      <c r="F164" s="28" t="n"/>
    </row>
    <row r="165">
      <c r="A165" s="31" t="n"/>
      <c r="B165" s="28" t="n"/>
      <c r="C165" s="30" t="n"/>
      <c r="D165" s="28" t="n"/>
      <c r="E165" s="34">
        <f>IF(B165="","",IFERROR(INDEX(Policies!$B$2:$B$301,MATCH(B165,Policies!$A$2:$A$301,0)),"Policy # not found"))</f>
        <v/>
      </c>
      <c r="F165" s="28" t="n"/>
    </row>
    <row r="166">
      <c r="A166" s="31" t="n"/>
      <c r="B166" s="28" t="n"/>
      <c r="C166" s="30" t="n"/>
      <c r="D166" s="28" t="n"/>
      <c r="E166" s="34">
        <f>IF(B166="","",IFERROR(INDEX(Policies!$B$2:$B$301,MATCH(B166,Policies!$A$2:$A$301,0)),"Policy # not found"))</f>
        <v/>
      </c>
      <c r="F166" s="28" t="n"/>
    </row>
    <row r="167">
      <c r="A167" s="31" t="n"/>
      <c r="B167" s="28" t="n"/>
      <c r="C167" s="30" t="n"/>
      <c r="D167" s="28" t="n"/>
      <c r="E167" s="34">
        <f>IF(B167="","",IFERROR(INDEX(Policies!$B$2:$B$301,MATCH(B167,Policies!$A$2:$A$301,0)),"Policy # not found"))</f>
        <v/>
      </c>
      <c r="F167" s="28" t="n"/>
    </row>
    <row r="168">
      <c r="A168" s="31" t="n"/>
      <c r="B168" s="28" t="n"/>
      <c r="C168" s="30" t="n"/>
      <c r="D168" s="28" t="n"/>
      <c r="E168" s="34">
        <f>IF(B168="","",IFERROR(INDEX(Policies!$B$2:$B$301,MATCH(B168,Policies!$A$2:$A$301,0)),"Policy # not found"))</f>
        <v/>
      </c>
      <c r="F168" s="28" t="n"/>
    </row>
    <row r="169">
      <c r="A169" s="31" t="n"/>
      <c r="B169" s="28" t="n"/>
      <c r="C169" s="30" t="n"/>
      <c r="D169" s="28" t="n"/>
      <c r="E169" s="34">
        <f>IF(B169="","",IFERROR(INDEX(Policies!$B$2:$B$301,MATCH(B169,Policies!$A$2:$A$301,0)),"Policy # not found"))</f>
        <v/>
      </c>
      <c r="F169" s="28" t="n"/>
    </row>
    <row r="170">
      <c r="A170" s="31" t="n"/>
      <c r="B170" s="28" t="n"/>
      <c r="C170" s="30" t="n"/>
      <c r="D170" s="28" t="n"/>
      <c r="E170" s="34">
        <f>IF(B170="","",IFERROR(INDEX(Policies!$B$2:$B$301,MATCH(B170,Policies!$A$2:$A$301,0)),"Policy # not found"))</f>
        <v/>
      </c>
      <c r="F170" s="28" t="n"/>
    </row>
    <row r="171">
      <c r="A171" s="31" t="n"/>
      <c r="B171" s="28" t="n"/>
      <c r="C171" s="30" t="n"/>
      <c r="D171" s="28" t="n"/>
      <c r="E171" s="34">
        <f>IF(B171="","",IFERROR(INDEX(Policies!$B$2:$B$301,MATCH(B171,Policies!$A$2:$A$301,0)),"Policy # not found"))</f>
        <v/>
      </c>
      <c r="F171" s="28" t="n"/>
    </row>
    <row r="172">
      <c r="A172" s="31" t="n"/>
      <c r="B172" s="28" t="n"/>
      <c r="C172" s="30" t="n"/>
      <c r="D172" s="28" t="n"/>
      <c r="E172" s="34">
        <f>IF(B172="","",IFERROR(INDEX(Policies!$B$2:$B$301,MATCH(B172,Policies!$A$2:$A$301,0)),"Policy # not found"))</f>
        <v/>
      </c>
      <c r="F172" s="28" t="n"/>
    </row>
    <row r="173">
      <c r="A173" s="31" t="n"/>
      <c r="B173" s="28" t="n"/>
      <c r="C173" s="30" t="n"/>
      <c r="D173" s="28" t="n"/>
      <c r="E173" s="34">
        <f>IF(B173="","",IFERROR(INDEX(Policies!$B$2:$B$301,MATCH(B173,Policies!$A$2:$A$301,0)),"Policy # not found"))</f>
        <v/>
      </c>
      <c r="F173" s="28" t="n"/>
    </row>
    <row r="174">
      <c r="A174" s="31" t="n"/>
      <c r="B174" s="28" t="n"/>
      <c r="C174" s="30" t="n"/>
      <c r="D174" s="28" t="n"/>
      <c r="E174" s="34">
        <f>IF(B174="","",IFERROR(INDEX(Policies!$B$2:$B$301,MATCH(B174,Policies!$A$2:$A$301,0)),"Policy # not found"))</f>
        <v/>
      </c>
      <c r="F174" s="28" t="n"/>
    </row>
    <row r="175">
      <c r="A175" s="31" t="n"/>
      <c r="B175" s="28" t="n"/>
      <c r="C175" s="30" t="n"/>
      <c r="D175" s="28" t="n"/>
      <c r="E175" s="34">
        <f>IF(B175="","",IFERROR(INDEX(Policies!$B$2:$B$301,MATCH(B175,Policies!$A$2:$A$301,0)),"Policy # not found"))</f>
        <v/>
      </c>
      <c r="F175" s="28" t="n"/>
    </row>
    <row r="176">
      <c r="A176" s="31" t="n"/>
      <c r="B176" s="28" t="n"/>
      <c r="C176" s="30" t="n"/>
      <c r="D176" s="28" t="n"/>
      <c r="E176" s="34">
        <f>IF(B176="","",IFERROR(INDEX(Policies!$B$2:$B$301,MATCH(B176,Policies!$A$2:$A$301,0)),"Policy # not found"))</f>
        <v/>
      </c>
      <c r="F176" s="28" t="n"/>
    </row>
    <row r="177">
      <c r="A177" s="31" t="n"/>
      <c r="B177" s="28" t="n"/>
      <c r="C177" s="30" t="n"/>
      <c r="D177" s="28" t="n"/>
      <c r="E177" s="34">
        <f>IF(B177="","",IFERROR(INDEX(Policies!$B$2:$B$301,MATCH(B177,Policies!$A$2:$A$301,0)),"Policy # not found"))</f>
        <v/>
      </c>
      <c r="F177" s="28" t="n"/>
    </row>
    <row r="178">
      <c r="A178" s="31" t="n"/>
      <c r="B178" s="28" t="n"/>
      <c r="C178" s="30" t="n"/>
      <c r="D178" s="28" t="n"/>
      <c r="E178" s="34">
        <f>IF(B178="","",IFERROR(INDEX(Policies!$B$2:$B$301,MATCH(B178,Policies!$A$2:$A$301,0)),"Policy # not found"))</f>
        <v/>
      </c>
      <c r="F178" s="28" t="n"/>
    </row>
    <row r="179">
      <c r="A179" s="31" t="n"/>
      <c r="B179" s="28" t="n"/>
      <c r="C179" s="30" t="n"/>
      <c r="D179" s="28" t="n"/>
      <c r="E179" s="34">
        <f>IF(B179="","",IFERROR(INDEX(Policies!$B$2:$B$301,MATCH(B179,Policies!$A$2:$A$301,0)),"Policy # not found"))</f>
        <v/>
      </c>
      <c r="F179" s="28" t="n"/>
    </row>
    <row r="180">
      <c r="A180" s="31" t="n"/>
      <c r="B180" s="28" t="n"/>
      <c r="C180" s="30" t="n"/>
      <c r="D180" s="28" t="n"/>
      <c r="E180" s="34">
        <f>IF(B180="","",IFERROR(INDEX(Policies!$B$2:$B$301,MATCH(B180,Policies!$A$2:$A$301,0)),"Policy # not found"))</f>
        <v/>
      </c>
      <c r="F180" s="28" t="n"/>
    </row>
    <row r="181">
      <c r="A181" s="31" t="n"/>
      <c r="B181" s="28" t="n"/>
      <c r="C181" s="30" t="n"/>
      <c r="D181" s="28" t="n"/>
      <c r="E181" s="34">
        <f>IF(B181="","",IFERROR(INDEX(Policies!$B$2:$B$301,MATCH(B181,Policies!$A$2:$A$301,0)),"Policy # not found"))</f>
        <v/>
      </c>
      <c r="F181" s="28" t="n"/>
    </row>
    <row r="182">
      <c r="A182" s="31" t="n"/>
      <c r="B182" s="28" t="n"/>
      <c r="C182" s="30" t="n"/>
      <c r="D182" s="28" t="n"/>
      <c r="E182" s="34">
        <f>IF(B182="","",IFERROR(INDEX(Policies!$B$2:$B$301,MATCH(B182,Policies!$A$2:$A$301,0)),"Policy # not found"))</f>
        <v/>
      </c>
      <c r="F182" s="28" t="n"/>
    </row>
    <row r="183">
      <c r="A183" s="31" t="n"/>
      <c r="B183" s="28" t="n"/>
      <c r="C183" s="30" t="n"/>
      <c r="D183" s="28" t="n"/>
      <c r="E183" s="34">
        <f>IF(B183="","",IFERROR(INDEX(Policies!$B$2:$B$301,MATCH(B183,Policies!$A$2:$A$301,0)),"Policy # not found"))</f>
        <v/>
      </c>
      <c r="F183" s="28" t="n"/>
    </row>
    <row r="184">
      <c r="A184" s="31" t="n"/>
      <c r="B184" s="28" t="n"/>
      <c r="C184" s="30" t="n"/>
      <c r="D184" s="28" t="n"/>
      <c r="E184" s="34">
        <f>IF(B184="","",IFERROR(INDEX(Policies!$B$2:$B$301,MATCH(B184,Policies!$A$2:$A$301,0)),"Policy # not found"))</f>
        <v/>
      </c>
      <c r="F184" s="28" t="n"/>
    </row>
    <row r="185">
      <c r="A185" s="31" t="n"/>
      <c r="B185" s="28" t="n"/>
      <c r="C185" s="30" t="n"/>
      <c r="D185" s="28" t="n"/>
      <c r="E185" s="34">
        <f>IF(B185="","",IFERROR(INDEX(Policies!$B$2:$B$301,MATCH(B185,Policies!$A$2:$A$301,0)),"Policy # not found"))</f>
        <v/>
      </c>
      <c r="F185" s="28" t="n"/>
    </row>
    <row r="186">
      <c r="A186" s="31" t="n"/>
      <c r="B186" s="28" t="n"/>
      <c r="C186" s="30" t="n"/>
      <c r="D186" s="28" t="n"/>
      <c r="E186" s="34">
        <f>IF(B186="","",IFERROR(INDEX(Policies!$B$2:$B$301,MATCH(B186,Policies!$A$2:$A$301,0)),"Policy # not found"))</f>
        <v/>
      </c>
      <c r="F186" s="28" t="n"/>
    </row>
    <row r="187">
      <c r="A187" s="31" t="n"/>
      <c r="B187" s="28" t="n"/>
      <c r="C187" s="30" t="n"/>
      <c r="D187" s="28" t="n"/>
      <c r="E187" s="34">
        <f>IF(B187="","",IFERROR(INDEX(Policies!$B$2:$B$301,MATCH(B187,Policies!$A$2:$A$301,0)),"Policy # not found"))</f>
        <v/>
      </c>
      <c r="F187" s="28" t="n"/>
    </row>
    <row r="188">
      <c r="A188" s="31" t="n"/>
      <c r="B188" s="28" t="n"/>
      <c r="C188" s="30" t="n"/>
      <c r="D188" s="28" t="n"/>
      <c r="E188" s="34">
        <f>IF(B188="","",IFERROR(INDEX(Policies!$B$2:$B$301,MATCH(B188,Policies!$A$2:$A$301,0)),"Policy # not found"))</f>
        <v/>
      </c>
      <c r="F188" s="28" t="n"/>
    </row>
    <row r="189">
      <c r="A189" s="31" t="n"/>
      <c r="B189" s="28" t="n"/>
      <c r="C189" s="30" t="n"/>
      <c r="D189" s="28" t="n"/>
      <c r="E189" s="34">
        <f>IF(B189="","",IFERROR(INDEX(Policies!$B$2:$B$301,MATCH(B189,Policies!$A$2:$A$301,0)),"Policy # not found"))</f>
        <v/>
      </c>
      <c r="F189" s="28" t="n"/>
    </row>
    <row r="190">
      <c r="A190" s="31" t="n"/>
      <c r="B190" s="28" t="n"/>
      <c r="C190" s="30" t="n"/>
      <c r="D190" s="28" t="n"/>
      <c r="E190" s="34">
        <f>IF(B190="","",IFERROR(INDEX(Policies!$B$2:$B$301,MATCH(B190,Policies!$A$2:$A$301,0)),"Policy # not found"))</f>
        <v/>
      </c>
      <c r="F190" s="28" t="n"/>
    </row>
    <row r="191">
      <c r="A191" s="31" t="n"/>
      <c r="B191" s="28" t="n"/>
      <c r="C191" s="30" t="n"/>
      <c r="D191" s="28" t="n"/>
      <c r="E191" s="34">
        <f>IF(B191="","",IFERROR(INDEX(Policies!$B$2:$B$301,MATCH(B191,Policies!$A$2:$A$301,0)),"Policy # not found"))</f>
        <v/>
      </c>
      <c r="F191" s="28" t="n"/>
    </row>
    <row r="192">
      <c r="A192" s="31" t="n"/>
      <c r="B192" s="28" t="n"/>
      <c r="C192" s="30" t="n"/>
      <c r="D192" s="28" t="n"/>
      <c r="E192" s="34">
        <f>IF(B192="","",IFERROR(INDEX(Policies!$B$2:$B$301,MATCH(B192,Policies!$A$2:$A$301,0)),"Policy # not found"))</f>
        <v/>
      </c>
      <c r="F192" s="28" t="n"/>
    </row>
    <row r="193">
      <c r="A193" s="31" t="n"/>
      <c r="B193" s="28" t="n"/>
      <c r="C193" s="30" t="n"/>
      <c r="D193" s="28" t="n"/>
      <c r="E193" s="34">
        <f>IF(B193="","",IFERROR(INDEX(Policies!$B$2:$B$301,MATCH(B193,Policies!$A$2:$A$301,0)),"Policy # not found"))</f>
        <v/>
      </c>
      <c r="F193" s="28" t="n"/>
    </row>
    <row r="194">
      <c r="A194" s="31" t="n"/>
      <c r="B194" s="28" t="n"/>
      <c r="C194" s="30" t="n"/>
      <c r="D194" s="28" t="n"/>
      <c r="E194" s="34">
        <f>IF(B194="","",IFERROR(INDEX(Policies!$B$2:$B$301,MATCH(B194,Policies!$A$2:$A$301,0)),"Policy # not found"))</f>
        <v/>
      </c>
      <c r="F194" s="28" t="n"/>
    </row>
    <row r="195">
      <c r="A195" s="31" t="n"/>
      <c r="B195" s="28" t="n"/>
      <c r="C195" s="30" t="n"/>
      <c r="D195" s="28" t="n"/>
      <c r="E195" s="34">
        <f>IF(B195="","",IFERROR(INDEX(Policies!$B$2:$B$301,MATCH(B195,Policies!$A$2:$A$301,0)),"Policy # not found"))</f>
        <v/>
      </c>
      <c r="F195" s="28" t="n"/>
    </row>
    <row r="196">
      <c r="A196" s="31" t="n"/>
      <c r="B196" s="28" t="n"/>
      <c r="C196" s="30" t="n"/>
      <c r="D196" s="28" t="n"/>
      <c r="E196" s="34">
        <f>IF(B196="","",IFERROR(INDEX(Policies!$B$2:$B$301,MATCH(B196,Policies!$A$2:$A$301,0)),"Policy # not found"))</f>
        <v/>
      </c>
      <c r="F196" s="28" t="n"/>
    </row>
    <row r="197">
      <c r="A197" s="31" t="n"/>
      <c r="B197" s="28" t="n"/>
      <c r="C197" s="30" t="n"/>
      <c r="D197" s="28" t="n"/>
      <c r="E197" s="34">
        <f>IF(B197="","",IFERROR(INDEX(Policies!$B$2:$B$301,MATCH(B197,Policies!$A$2:$A$301,0)),"Policy # not found"))</f>
        <v/>
      </c>
      <c r="F197" s="28" t="n"/>
    </row>
    <row r="198">
      <c r="A198" s="31" t="n"/>
      <c r="B198" s="28" t="n"/>
      <c r="C198" s="30" t="n"/>
      <c r="D198" s="28" t="n"/>
      <c r="E198" s="34">
        <f>IF(B198="","",IFERROR(INDEX(Policies!$B$2:$B$301,MATCH(B198,Policies!$A$2:$A$301,0)),"Policy # not found"))</f>
        <v/>
      </c>
      <c r="F198" s="28" t="n"/>
    </row>
    <row r="199">
      <c r="A199" s="31" t="n"/>
      <c r="B199" s="28" t="n"/>
      <c r="C199" s="30" t="n"/>
      <c r="D199" s="28" t="n"/>
      <c r="E199" s="34">
        <f>IF(B199="","",IFERROR(INDEX(Policies!$B$2:$B$301,MATCH(B199,Policies!$A$2:$A$301,0)),"Policy # not found"))</f>
        <v/>
      </c>
      <c r="F199" s="28" t="n"/>
    </row>
    <row r="200">
      <c r="A200" s="31" t="n"/>
      <c r="B200" s="28" t="n"/>
      <c r="C200" s="30" t="n"/>
      <c r="D200" s="28" t="n"/>
      <c r="E200" s="34">
        <f>IF(B200="","",IFERROR(INDEX(Policies!$B$2:$B$301,MATCH(B200,Policies!$A$2:$A$301,0)),"Policy # not found"))</f>
        <v/>
      </c>
      <c r="F200" s="28" t="n"/>
    </row>
    <row r="201">
      <c r="A201" s="31" t="n"/>
      <c r="B201" s="28" t="n"/>
      <c r="C201" s="30" t="n"/>
      <c r="D201" s="28" t="n"/>
      <c r="E201" s="34">
        <f>IF(B201="","",IFERROR(INDEX(Policies!$B$2:$B$301,MATCH(B201,Policies!$A$2:$A$301,0)),"Policy # not found"))</f>
        <v/>
      </c>
      <c r="F201" s="28" t="n"/>
    </row>
    <row r="202">
      <c r="A202" s="31" t="n"/>
      <c r="B202" s="28" t="n"/>
      <c r="C202" s="30" t="n"/>
      <c r="D202" s="28" t="n"/>
      <c r="E202" s="34">
        <f>IF(B202="","",IFERROR(INDEX(Policies!$B$2:$B$301,MATCH(B202,Policies!$A$2:$A$301,0)),"Policy # not found"))</f>
        <v/>
      </c>
      <c r="F202" s="28" t="n"/>
    </row>
    <row r="203">
      <c r="A203" s="31" t="n"/>
      <c r="B203" s="28" t="n"/>
      <c r="C203" s="30" t="n"/>
      <c r="D203" s="28" t="n"/>
      <c r="E203" s="34">
        <f>IF(B203="","",IFERROR(INDEX(Policies!$B$2:$B$301,MATCH(B203,Policies!$A$2:$A$301,0)),"Policy # not found"))</f>
        <v/>
      </c>
      <c r="F203" s="28" t="n"/>
    </row>
    <row r="204">
      <c r="A204" s="31" t="n"/>
      <c r="B204" s="28" t="n"/>
      <c r="C204" s="30" t="n"/>
      <c r="D204" s="28" t="n"/>
      <c r="E204" s="34">
        <f>IF(B204="","",IFERROR(INDEX(Policies!$B$2:$B$301,MATCH(B204,Policies!$A$2:$A$301,0)),"Policy # not found"))</f>
        <v/>
      </c>
      <c r="F204" s="28" t="n"/>
    </row>
    <row r="205">
      <c r="A205" s="31" t="n"/>
      <c r="B205" s="28" t="n"/>
      <c r="C205" s="30" t="n"/>
      <c r="D205" s="28" t="n"/>
      <c r="E205" s="34">
        <f>IF(B205="","",IFERROR(INDEX(Policies!$B$2:$B$301,MATCH(B205,Policies!$A$2:$A$301,0)),"Policy # not found"))</f>
        <v/>
      </c>
      <c r="F205" s="28" t="n"/>
    </row>
    <row r="206">
      <c r="A206" s="31" t="n"/>
      <c r="B206" s="28" t="n"/>
      <c r="C206" s="30" t="n"/>
      <c r="D206" s="28" t="n"/>
      <c r="E206" s="34">
        <f>IF(B206="","",IFERROR(INDEX(Policies!$B$2:$B$301,MATCH(B206,Policies!$A$2:$A$301,0)),"Policy # not found"))</f>
        <v/>
      </c>
      <c r="F206" s="28" t="n"/>
    </row>
    <row r="207">
      <c r="A207" s="31" t="n"/>
      <c r="B207" s="28" t="n"/>
      <c r="C207" s="30" t="n"/>
      <c r="D207" s="28" t="n"/>
      <c r="E207" s="34">
        <f>IF(B207="","",IFERROR(INDEX(Policies!$B$2:$B$301,MATCH(B207,Policies!$A$2:$A$301,0)),"Policy # not found"))</f>
        <v/>
      </c>
      <c r="F207" s="28" t="n"/>
    </row>
    <row r="208">
      <c r="A208" s="31" t="n"/>
      <c r="B208" s="28" t="n"/>
      <c r="C208" s="30" t="n"/>
      <c r="D208" s="28" t="n"/>
      <c r="E208" s="34">
        <f>IF(B208="","",IFERROR(INDEX(Policies!$B$2:$B$301,MATCH(B208,Policies!$A$2:$A$301,0)),"Policy # not found"))</f>
        <v/>
      </c>
      <c r="F208" s="28" t="n"/>
    </row>
    <row r="209">
      <c r="A209" s="31" t="n"/>
      <c r="B209" s="28" t="n"/>
      <c r="C209" s="30" t="n"/>
      <c r="D209" s="28" t="n"/>
      <c r="E209" s="34">
        <f>IF(B209="","",IFERROR(INDEX(Policies!$B$2:$B$301,MATCH(B209,Policies!$A$2:$A$301,0)),"Policy # not found"))</f>
        <v/>
      </c>
      <c r="F209" s="28" t="n"/>
    </row>
    <row r="210">
      <c r="A210" s="31" t="n"/>
      <c r="B210" s="28" t="n"/>
      <c r="C210" s="30" t="n"/>
      <c r="D210" s="28" t="n"/>
      <c r="E210" s="34">
        <f>IF(B210="","",IFERROR(INDEX(Policies!$B$2:$B$301,MATCH(B210,Policies!$A$2:$A$301,0)),"Policy # not found"))</f>
        <v/>
      </c>
      <c r="F210" s="28" t="n"/>
    </row>
    <row r="211">
      <c r="A211" s="31" t="n"/>
      <c r="B211" s="28" t="n"/>
      <c r="C211" s="30" t="n"/>
      <c r="D211" s="28" t="n"/>
      <c r="E211" s="34">
        <f>IF(B211="","",IFERROR(INDEX(Policies!$B$2:$B$301,MATCH(B211,Policies!$A$2:$A$301,0)),"Policy # not found"))</f>
        <v/>
      </c>
      <c r="F211" s="28" t="n"/>
    </row>
    <row r="212">
      <c r="A212" s="31" t="n"/>
      <c r="B212" s="28" t="n"/>
      <c r="C212" s="30" t="n"/>
      <c r="D212" s="28" t="n"/>
      <c r="E212" s="34">
        <f>IF(B212="","",IFERROR(INDEX(Policies!$B$2:$B$301,MATCH(B212,Policies!$A$2:$A$301,0)),"Policy # not found"))</f>
        <v/>
      </c>
      <c r="F212" s="28" t="n"/>
    </row>
    <row r="213">
      <c r="A213" s="31" t="n"/>
      <c r="B213" s="28" t="n"/>
      <c r="C213" s="30" t="n"/>
      <c r="D213" s="28" t="n"/>
      <c r="E213" s="34">
        <f>IF(B213="","",IFERROR(INDEX(Policies!$B$2:$B$301,MATCH(B213,Policies!$A$2:$A$301,0)),"Policy # not found"))</f>
        <v/>
      </c>
      <c r="F213" s="28" t="n"/>
    </row>
    <row r="214">
      <c r="A214" s="31" t="n"/>
      <c r="B214" s="28" t="n"/>
      <c r="C214" s="30" t="n"/>
      <c r="D214" s="28" t="n"/>
      <c r="E214" s="34">
        <f>IF(B214="","",IFERROR(INDEX(Policies!$B$2:$B$301,MATCH(B214,Policies!$A$2:$A$301,0)),"Policy # not found"))</f>
        <v/>
      </c>
      <c r="F214" s="28" t="n"/>
    </row>
    <row r="215">
      <c r="A215" s="31" t="n"/>
      <c r="B215" s="28" t="n"/>
      <c r="C215" s="30" t="n"/>
      <c r="D215" s="28" t="n"/>
      <c r="E215" s="34">
        <f>IF(B215="","",IFERROR(INDEX(Policies!$B$2:$B$301,MATCH(B215,Policies!$A$2:$A$301,0)),"Policy # not found"))</f>
        <v/>
      </c>
      <c r="F215" s="28" t="n"/>
    </row>
    <row r="216">
      <c r="A216" s="31" t="n"/>
      <c r="B216" s="28" t="n"/>
      <c r="C216" s="30" t="n"/>
      <c r="D216" s="28" t="n"/>
      <c r="E216" s="34">
        <f>IF(B216="","",IFERROR(INDEX(Policies!$B$2:$B$301,MATCH(B216,Policies!$A$2:$A$301,0)),"Policy # not found"))</f>
        <v/>
      </c>
      <c r="F216" s="28" t="n"/>
    </row>
    <row r="217">
      <c r="A217" s="31" t="n"/>
      <c r="B217" s="28" t="n"/>
      <c r="C217" s="30" t="n"/>
      <c r="D217" s="28" t="n"/>
      <c r="E217" s="34">
        <f>IF(B217="","",IFERROR(INDEX(Policies!$B$2:$B$301,MATCH(B217,Policies!$A$2:$A$301,0)),"Policy # not found"))</f>
        <v/>
      </c>
      <c r="F217" s="28" t="n"/>
    </row>
    <row r="218">
      <c r="A218" s="31" t="n"/>
      <c r="B218" s="28" t="n"/>
      <c r="C218" s="30" t="n"/>
      <c r="D218" s="28" t="n"/>
      <c r="E218" s="34">
        <f>IF(B218="","",IFERROR(INDEX(Policies!$B$2:$B$301,MATCH(B218,Policies!$A$2:$A$301,0)),"Policy # not found"))</f>
        <v/>
      </c>
      <c r="F218" s="28" t="n"/>
    </row>
    <row r="219">
      <c r="A219" s="31" t="n"/>
      <c r="B219" s="28" t="n"/>
      <c r="C219" s="30" t="n"/>
      <c r="D219" s="28" t="n"/>
      <c r="E219" s="34">
        <f>IF(B219="","",IFERROR(INDEX(Policies!$B$2:$B$301,MATCH(B219,Policies!$A$2:$A$301,0)),"Policy # not found"))</f>
        <v/>
      </c>
      <c r="F219" s="28" t="n"/>
    </row>
    <row r="220">
      <c r="A220" s="31" t="n"/>
      <c r="B220" s="28" t="n"/>
      <c r="C220" s="30" t="n"/>
      <c r="D220" s="28" t="n"/>
      <c r="E220" s="34">
        <f>IF(B220="","",IFERROR(INDEX(Policies!$B$2:$B$301,MATCH(B220,Policies!$A$2:$A$301,0)),"Policy # not found"))</f>
        <v/>
      </c>
      <c r="F220" s="28" t="n"/>
    </row>
    <row r="221">
      <c r="A221" s="31" t="n"/>
      <c r="B221" s="28" t="n"/>
      <c r="C221" s="30" t="n"/>
      <c r="D221" s="28" t="n"/>
      <c r="E221" s="34">
        <f>IF(B221="","",IFERROR(INDEX(Policies!$B$2:$B$301,MATCH(B221,Policies!$A$2:$A$301,0)),"Policy # not found"))</f>
        <v/>
      </c>
      <c r="F221" s="28" t="n"/>
    </row>
    <row r="222">
      <c r="A222" s="31" t="n"/>
      <c r="B222" s="28" t="n"/>
      <c r="C222" s="30" t="n"/>
      <c r="D222" s="28" t="n"/>
      <c r="E222" s="34">
        <f>IF(B222="","",IFERROR(INDEX(Policies!$B$2:$B$301,MATCH(B222,Policies!$A$2:$A$301,0)),"Policy # not found"))</f>
        <v/>
      </c>
      <c r="F222" s="28" t="n"/>
    </row>
    <row r="223">
      <c r="A223" s="31" t="n"/>
      <c r="B223" s="28" t="n"/>
      <c r="C223" s="30" t="n"/>
      <c r="D223" s="28" t="n"/>
      <c r="E223" s="34">
        <f>IF(B223="","",IFERROR(INDEX(Policies!$B$2:$B$301,MATCH(B223,Policies!$A$2:$A$301,0)),"Policy # not found"))</f>
        <v/>
      </c>
      <c r="F223" s="28" t="n"/>
    </row>
    <row r="224">
      <c r="A224" s="31" t="n"/>
      <c r="B224" s="28" t="n"/>
      <c r="C224" s="30" t="n"/>
      <c r="D224" s="28" t="n"/>
      <c r="E224" s="34">
        <f>IF(B224="","",IFERROR(INDEX(Policies!$B$2:$B$301,MATCH(B224,Policies!$A$2:$A$301,0)),"Policy # not found"))</f>
        <v/>
      </c>
      <c r="F224" s="28" t="n"/>
    </row>
    <row r="225">
      <c r="A225" s="31" t="n"/>
      <c r="B225" s="28" t="n"/>
      <c r="C225" s="30" t="n"/>
      <c r="D225" s="28" t="n"/>
      <c r="E225" s="34">
        <f>IF(B225="","",IFERROR(INDEX(Policies!$B$2:$B$301,MATCH(B225,Policies!$A$2:$A$301,0)),"Policy # not found"))</f>
        <v/>
      </c>
      <c r="F225" s="28" t="n"/>
    </row>
    <row r="226">
      <c r="A226" s="31" t="n"/>
      <c r="B226" s="28" t="n"/>
      <c r="C226" s="30" t="n"/>
      <c r="D226" s="28" t="n"/>
      <c r="E226" s="34">
        <f>IF(B226="","",IFERROR(INDEX(Policies!$B$2:$B$301,MATCH(B226,Policies!$A$2:$A$301,0)),"Policy # not found"))</f>
        <v/>
      </c>
      <c r="F226" s="28" t="n"/>
    </row>
    <row r="227">
      <c r="A227" s="31" t="n"/>
      <c r="B227" s="28" t="n"/>
      <c r="C227" s="30" t="n"/>
      <c r="D227" s="28" t="n"/>
      <c r="E227" s="34">
        <f>IF(B227="","",IFERROR(INDEX(Policies!$B$2:$B$301,MATCH(B227,Policies!$A$2:$A$301,0)),"Policy # not found"))</f>
        <v/>
      </c>
      <c r="F227" s="28" t="n"/>
    </row>
    <row r="228">
      <c r="A228" s="31" t="n"/>
      <c r="B228" s="28" t="n"/>
      <c r="C228" s="30" t="n"/>
      <c r="D228" s="28" t="n"/>
      <c r="E228" s="34">
        <f>IF(B228="","",IFERROR(INDEX(Policies!$B$2:$B$301,MATCH(B228,Policies!$A$2:$A$301,0)),"Policy # not found"))</f>
        <v/>
      </c>
      <c r="F228" s="28" t="n"/>
    </row>
    <row r="229">
      <c r="A229" s="31" t="n"/>
      <c r="B229" s="28" t="n"/>
      <c r="C229" s="30" t="n"/>
      <c r="D229" s="28" t="n"/>
      <c r="E229" s="34">
        <f>IF(B229="","",IFERROR(INDEX(Policies!$B$2:$B$301,MATCH(B229,Policies!$A$2:$A$301,0)),"Policy # not found"))</f>
        <v/>
      </c>
      <c r="F229" s="28" t="n"/>
    </row>
    <row r="230">
      <c r="A230" s="31" t="n"/>
      <c r="B230" s="28" t="n"/>
      <c r="C230" s="30" t="n"/>
      <c r="D230" s="28" t="n"/>
      <c r="E230" s="34">
        <f>IF(B230="","",IFERROR(INDEX(Policies!$B$2:$B$301,MATCH(B230,Policies!$A$2:$A$301,0)),"Policy # not found"))</f>
        <v/>
      </c>
      <c r="F230" s="28" t="n"/>
    </row>
    <row r="231">
      <c r="A231" s="31" t="n"/>
      <c r="B231" s="28" t="n"/>
      <c r="C231" s="30" t="n"/>
      <c r="D231" s="28" t="n"/>
      <c r="E231" s="34">
        <f>IF(B231="","",IFERROR(INDEX(Policies!$B$2:$B$301,MATCH(B231,Policies!$A$2:$A$301,0)),"Policy # not found"))</f>
        <v/>
      </c>
      <c r="F231" s="28" t="n"/>
    </row>
    <row r="232">
      <c r="A232" s="31" t="n"/>
      <c r="B232" s="28" t="n"/>
      <c r="C232" s="30" t="n"/>
      <c r="D232" s="28" t="n"/>
      <c r="E232" s="34">
        <f>IF(B232="","",IFERROR(INDEX(Policies!$B$2:$B$301,MATCH(B232,Policies!$A$2:$A$301,0)),"Policy # not found"))</f>
        <v/>
      </c>
      <c r="F232" s="28" t="n"/>
    </row>
    <row r="233">
      <c r="A233" s="31" t="n"/>
      <c r="B233" s="28" t="n"/>
      <c r="C233" s="30" t="n"/>
      <c r="D233" s="28" t="n"/>
      <c r="E233" s="34">
        <f>IF(B233="","",IFERROR(INDEX(Policies!$B$2:$B$301,MATCH(B233,Policies!$A$2:$A$301,0)),"Policy # not found"))</f>
        <v/>
      </c>
      <c r="F233" s="28" t="n"/>
    </row>
    <row r="234">
      <c r="A234" s="31" t="n"/>
      <c r="B234" s="28" t="n"/>
      <c r="C234" s="30" t="n"/>
      <c r="D234" s="28" t="n"/>
      <c r="E234" s="34">
        <f>IF(B234="","",IFERROR(INDEX(Policies!$B$2:$B$301,MATCH(B234,Policies!$A$2:$A$301,0)),"Policy # not found"))</f>
        <v/>
      </c>
      <c r="F234" s="28" t="n"/>
    </row>
    <row r="235">
      <c r="A235" s="31" t="n"/>
      <c r="B235" s="28" t="n"/>
      <c r="C235" s="30" t="n"/>
      <c r="D235" s="28" t="n"/>
      <c r="E235" s="34">
        <f>IF(B235="","",IFERROR(INDEX(Policies!$B$2:$B$301,MATCH(B235,Policies!$A$2:$A$301,0)),"Policy # not found"))</f>
        <v/>
      </c>
      <c r="F235" s="28" t="n"/>
    </row>
    <row r="236">
      <c r="A236" s="31" t="n"/>
      <c r="B236" s="28" t="n"/>
      <c r="C236" s="30" t="n"/>
      <c r="D236" s="28" t="n"/>
      <c r="E236" s="34">
        <f>IF(B236="","",IFERROR(INDEX(Policies!$B$2:$B$301,MATCH(B236,Policies!$A$2:$A$301,0)),"Policy # not found"))</f>
        <v/>
      </c>
      <c r="F236" s="28" t="n"/>
    </row>
    <row r="237">
      <c r="A237" s="31" t="n"/>
      <c r="B237" s="28" t="n"/>
      <c r="C237" s="30" t="n"/>
      <c r="D237" s="28" t="n"/>
      <c r="E237" s="34">
        <f>IF(B237="","",IFERROR(INDEX(Policies!$B$2:$B$301,MATCH(B237,Policies!$A$2:$A$301,0)),"Policy # not found"))</f>
        <v/>
      </c>
      <c r="F237" s="28" t="n"/>
    </row>
    <row r="238">
      <c r="A238" s="31" t="n"/>
      <c r="B238" s="28" t="n"/>
      <c r="C238" s="30" t="n"/>
      <c r="D238" s="28" t="n"/>
      <c r="E238" s="34">
        <f>IF(B238="","",IFERROR(INDEX(Policies!$B$2:$B$301,MATCH(B238,Policies!$A$2:$A$301,0)),"Policy # not found"))</f>
        <v/>
      </c>
      <c r="F238" s="28" t="n"/>
    </row>
    <row r="239">
      <c r="A239" s="31" t="n"/>
      <c r="B239" s="28" t="n"/>
      <c r="C239" s="30" t="n"/>
      <c r="D239" s="28" t="n"/>
      <c r="E239" s="34">
        <f>IF(B239="","",IFERROR(INDEX(Policies!$B$2:$B$301,MATCH(B239,Policies!$A$2:$A$301,0)),"Policy # not found"))</f>
        <v/>
      </c>
      <c r="F239" s="28" t="n"/>
    </row>
    <row r="240">
      <c r="A240" s="31" t="n"/>
      <c r="B240" s="28" t="n"/>
      <c r="C240" s="30" t="n"/>
      <c r="D240" s="28" t="n"/>
      <c r="E240" s="34">
        <f>IF(B240="","",IFERROR(INDEX(Policies!$B$2:$B$301,MATCH(B240,Policies!$A$2:$A$301,0)),"Policy # not found"))</f>
        <v/>
      </c>
      <c r="F240" s="28" t="n"/>
    </row>
    <row r="241">
      <c r="A241" s="31" t="n"/>
      <c r="B241" s="28" t="n"/>
      <c r="C241" s="30" t="n"/>
      <c r="D241" s="28" t="n"/>
      <c r="E241" s="34">
        <f>IF(B241="","",IFERROR(INDEX(Policies!$B$2:$B$301,MATCH(B241,Policies!$A$2:$A$301,0)),"Policy # not found"))</f>
        <v/>
      </c>
      <c r="F241" s="28" t="n"/>
    </row>
    <row r="242">
      <c r="A242" s="31" t="n"/>
      <c r="B242" s="28" t="n"/>
      <c r="C242" s="30" t="n"/>
      <c r="D242" s="28" t="n"/>
      <c r="E242" s="34">
        <f>IF(B242="","",IFERROR(INDEX(Policies!$B$2:$B$301,MATCH(B242,Policies!$A$2:$A$301,0)),"Policy # not found"))</f>
        <v/>
      </c>
      <c r="F242" s="28" t="n"/>
    </row>
    <row r="243">
      <c r="A243" s="31" t="n"/>
      <c r="B243" s="28" t="n"/>
      <c r="C243" s="30" t="n"/>
      <c r="D243" s="28" t="n"/>
      <c r="E243" s="34">
        <f>IF(B243="","",IFERROR(INDEX(Policies!$B$2:$B$301,MATCH(B243,Policies!$A$2:$A$301,0)),"Policy # not found"))</f>
        <v/>
      </c>
      <c r="F243" s="28" t="n"/>
    </row>
    <row r="244">
      <c r="A244" s="31" t="n"/>
      <c r="B244" s="28" t="n"/>
      <c r="C244" s="30" t="n"/>
      <c r="D244" s="28" t="n"/>
      <c r="E244" s="34">
        <f>IF(B244="","",IFERROR(INDEX(Policies!$B$2:$B$301,MATCH(B244,Policies!$A$2:$A$301,0)),"Policy # not found"))</f>
        <v/>
      </c>
      <c r="F244" s="28" t="n"/>
    </row>
    <row r="245">
      <c r="A245" s="31" t="n"/>
      <c r="B245" s="28" t="n"/>
      <c r="C245" s="30" t="n"/>
      <c r="D245" s="28" t="n"/>
      <c r="E245" s="34">
        <f>IF(B245="","",IFERROR(INDEX(Policies!$B$2:$B$301,MATCH(B245,Policies!$A$2:$A$301,0)),"Policy # not found"))</f>
        <v/>
      </c>
      <c r="F245" s="28" t="n"/>
    </row>
    <row r="246">
      <c r="A246" s="31" t="n"/>
      <c r="B246" s="28" t="n"/>
      <c r="C246" s="30" t="n"/>
      <c r="D246" s="28" t="n"/>
      <c r="E246" s="34">
        <f>IF(B246="","",IFERROR(INDEX(Policies!$B$2:$B$301,MATCH(B246,Policies!$A$2:$A$301,0)),"Policy # not found"))</f>
        <v/>
      </c>
      <c r="F246" s="28" t="n"/>
    </row>
    <row r="247">
      <c r="A247" s="31" t="n"/>
      <c r="B247" s="28" t="n"/>
      <c r="C247" s="30" t="n"/>
      <c r="D247" s="28" t="n"/>
      <c r="E247" s="34">
        <f>IF(B247="","",IFERROR(INDEX(Policies!$B$2:$B$301,MATCH(B247,Policies!$A$2:$A$301,0)),"Policy # not found"))</f>
        <v/>
      </c>
      <c r="F247" s="28" t="n"/>
    </row>
    <row r="248">
      <c r="A248" s="31" t="n"/>
      <c r="B248" s="28" t="n"/>
      <c r="C248" s="30" t="n"/>
      <c r="D248" s="28" t="n"/>
      <c r="E248" s="34">
        <f>IF(B248="","",IFERROR(INDEX(Policies!$B$2:$B$301,MATCH(B248,Policies!$A$2:$A$301,0)),"Policy # not found"))</f>
        <v/>
      </c>
      <c r="F248" s="28" t="n"/>
    </row>
    <row r="249">
      <c r="A249" s="31" t="n"/>
      <c r="B249" s="28" t="n"/>
      <c r="C249" s="30" t="n"/>
      <c r="D249" s="28" t="n"/>
      <c r="E249" s="34">
        <f>IF(B249="","",IFERROR(INDEX(Policies!$B$2:$B$301,MATCH(B249,Policies!$A$2:$A$301,0)),"Policy # not found"))</f>
        <v/>
      </c>
      <c r="F249" s="28" t="n"/>
    </row>
    <row r="250">
      <c r="A250" s="31" t="n"/>
      <c r="B250" s="28" t="n"/>
      <c r="C250" s="30" t="n"/>
      <c r="D250" s="28" t="n"/>
      <c r="E250" s="34">
        <f>IF(B250="","",IFERROR(INDEX(Policies!$B$2:$B$301,MATCH(B250,Policies!$A$2:$A$301,0)),"Policy # not found"))</f>
        <v/>
      </c>
      <c r="F250" s="28" t="n"/>
    </row>
    <row r="251">
      <c r="A251" s="31" t="n"/>
      <c r="B251" s="28" t="n"/>
      <c r="C251" s="30" t="n"/>
      <c r="D251" s="28" t="n"/>
      <c r="E251" s="34">
        <f>IF(B251="","",IFERROR(INDEX(Policies!$B$2:$B$301,MATCH(B251,Policies!$A$2:$A$301,0)),"Policy # not found"))</f>
        <v/>
      </c>
      <c r="F251" s="28" t="n"/>
    </row>
    <row r="252">
      <c r="A252" s="31" t="n"/>
      <c r="B252" s="28" t="n"/>
      <c r="C252" s="30" t="n"/>
      <c r="D252" s="28" t="n"/>
      <c r="E252" s="34">
        <f>IF(B252="","",IFERROR(INDEX(Policies!$B$2:$B$301,MATCH(B252,Policies!$A$2:$A$301,0)),"Policy # not found"))</f>
        <v/>
      </c>
      <c r="F252" s="28" t="n"/>
    </row>
    <row r="253">
      <c r="A253" s="31" t="n"/>
      <c r="B253" s="28" t="n"/>
      <c r="C253" s="30" t="n"/>
      <c r="D253" s="28" t="n"/>
      <c r="E253" s="34">
        <f>IF(B253="","",IFERROR(INDEX(Policies!$B$2:$B$301,MATCH(B253,Policies!$A$2:$A$301,0)),"Policy # not found"))</f>
        <v/>
      </c>
      <c r="F253" s="28" t="n"/>
    </row>
    <row r="254">
      <c r="A254" s="31" t="n"/>
      <c r="B254" s="28" t="n"/>
      <c r="C254" s="30" t="n"/>
      <c r="D254" s="28" t="n"/>
      <c r="E254" s="34">
        <f>IF(B254="","",IFERROR(INDEX(Policies!$B$2:$B$301,MATCH(B254,Policies!$A$2:$A$301,0)),"Policy # not found"))</f>
        <v/>
      </c>
      <c r="F254" s="28" t="n"/>
    </row>
    <row r="255">
      <c r="A255" s="31" t="n"/>
      <c r="B255" s="28" t="n"/>
      <c r="C255" s="30" t="n"/>
      <c r="D255" s="28" t="n"/>
      <c r="E255" s="34">
        <f>IF(B255="","",IFERROR(INDEX(Policies!$B$2:$B$301,MATCH(B255,Policies!$A$2:$A$301,0)),"Policy # not found"))</f>
        <v/>
      </c>
      <c r="F255" s="28" t="n"/>
    </row>
    <row r="256">
      <c r="A256" s="31" t="n"/>
      <c r="B256" s="28" t="n"/>
      <c r="C256" s="30" t="n"/>
      <c r="D256" s="28" t="n"/>
      <c r="E256" s="34">
        <f>IF(B256="","",IFERROR(INDEX(Policies!$B$2:$B$301,MATCH(B256,Policies!$A$2:$A$301,0)),"Policy # not found"))</f>
        <v/>
      </c>
      <c r="F256" s="28" t="n"/>
    </row>
    <row r="257">
      <c r="A257" s="31" t="n"/>
      <c r="B257" s="28" t="n"/>
      <c r="C257" s="30" t="n"/>
      <c r="D257" s="28" t="n"/>
      <c r="E257" s="34">
        <f>IF(B257="","",IFERROR(INDEX(Policies!$B$2:$B$301,MATCH(B257,Policies!$A$2:$A$301,0)),"Policy # not found"))</f>
        <v/>
      </c>
      <c r="F257" s="28" t="n"/>
    </row>
    <row r="258">
      <c r="A258" s="31" t="n"/>
      <c r="B258" s="28" t="n"/>
      <c r="C258" s="30" t="n"/>
      <c r="D258" s="28" t="n"/>
      <c r="E258" s="34">
        <f>IF(B258="","",IFERROR(INDEX(Policies!$B$2:$B$301,MATCH(B258,Policies!$A$2:$A$301,0)),"Policy # not found"))</f>
        <v/>
      </c>
      <c r="F258" s="28" t="n"/>
    </row>
    <row r="259">
      <c r="A259" s="31" t="n"/>
      <c r="B259" s="28" t="n"/>
      <c r="C259" s="30" t="n"/>
      <c r="D259" s="28" t="n"/>
      <c r="E259" s="34">
        <f>IF(B259="","",IFERROR(INDEX(Policies!$B$2:$B$301,MATCH(B259,Policies!$A$2:$A$301,0)),"Policy # not found"))</f>
        <v/>
      </c>
      <c r="F259" s="28" t="n"/>
    </row>
    <row r="260">
      <c r="A260" s="31" t="n"/>
      <c r="B260" s="28" t="n"/>
      <c r="C260" s="30" t="n"/>
      <c r="D260" s="28" t="n"/>
      <c r="E260" s="34">
        <f>IF(B260="","",IFERROR(INDEX(Policies!$B$2:$B$301,MATCH(B260,Policies!$A$2:$A$301,0)),"Policy # not found"))</f>
        <v/>
      </c>
      <c r="F260" s="28" t="n"/>
    </row>
    <row r="261">
      <c r="A261" s="31" t="n"/>
      <c r="B261" s="28" t="n"/>
      <c r="C261" s="30" t="n"/>
      <c r="D261" s="28" t="n"/>
      <c r="E261" s="34">
        <f>IF(B261="","",IFERROR(INDEX(Policies!$B$2:$B$301,MATCH(B261,Policies!$A$2:$A$301,0)),"Policy # not found"))</f>
        <v/>
      </c>
      <c r="F261" s="28" t="n"/>
    </row>
    <row r="262">
      <c r="A262" s="31" t="n"/>
      <c r="B262" s="28" t="n"/>
      <c r="C262" s="30" t="n"/>
      <c r="D262" s="28" t="n"/>
      <c r="E262" s="34">
        <f>IF(B262="","",IFERROR(INDEX(Policies!$B$2:$B$301,MATCH(B262,Policies!$A$2:$A$301,0)),"Policy # not found"))</f>
        <v/>
      </c>
      <c r="F262" s="28" t="n"/>
    </row>
    <row r="263">
      <c r="A263" s="31" t="n"/>
      <c r="B263" s="28" t="n"/>
      <c r="C263" s="30" t="n"/>
      <c r="D263" s="28" t="n"/>
      <c r="E263" s="34">
        <f>IF(B263="","",IFERROR(INDEX(Policies!$B$2:$B$301,MATCH(B263,Policies!$A$2:$A$301,0)),"Policy # not found"))</f>
        <v/>
      </c>
      <c r="F263" s="28" t="n"/>
    </row>
    <row r="264">
      <c r="A264" s="31" t="n"/>
      <c r="B264" s="28" t="n"/>
      <c r="C264" s="30" t="n"/>
      <c r="D264" s="28" t="n"/>
      <c r="E264" s="34">
        <f>IF(B264="","",IFERROR(INDEX(Policies!$B$2:$B$301,MATCH(B264,Policies!$A$2:$A$301,0)),"Policy # not found"))</f>
        <v/>
      </c>
      <c r="F264" s="28" t="n"/>
    </row>
    <row r="265">
      <c r="A265" s="31" t="n"/>
      <c r="B265" s="28" t="n"/>
      <c r="C265" s="30" t="n"/>
      <c r="D265" s="28" t="n"/>
      <c r="E265" s="34">
        <f>IF(B265="","",IFERROR(INDEX(Policies!$B$2:$B$301,MATCH(B265,Policies!$A$2:$A$301,0)),"Policy # not found"))</f>
        <v/>
      </c>
      <c r="F265" s="28" t="n"/>
    </row>
    <row r="266">
      <c r="A266" s="31" t="n"/>
      <c r="B266" s="28" t="n"/>
      <c r="C266" s="30" t="n"/>
      <c r="D266" s="28" t="n"/>
      <c r="E266" s="34">
        <f>IF(B266="","",IFERROR(INDEX(Policies!$B$2:$B$301,MATCH(B266,Policies!$A$2:$A$301,0)),"Policy # not found"))</f>
        <v/>
      </c>
      <c r="F266" s="28" t="n"/>
    </row>
    <row r="267">
      <c r="A267" s="31" t="n"/>
      <c r="B267" s="28" t="n"/>
      <c r="C267" s="30" t="n"/>
      <c r="D267" s="28" t="n"/>
      <c r="E267" s="34">
        <f>IF(B267="","",IFERROR(INDEX(Policies!$B$2:$B$301,MATCH(B267,Policies!$A$2:$A$301,0)),"Policy # not found"))</f>
        <v/>
      </c>
      <c r="F267" s="28" t="n"/>
    </row>
    <row r="268">
      <c r="A268" s="31" t="n"/>
      <c r="B268" s="28" t="n"/>
      <c r="C268" s="30" t="n"/>
      <c r="D268" s="28" t="n"/>
      <c r="E268" s="34">
        <f>IF(B268="","",IFERROR(INDEX(Policies!$B$2:$B$301,MATCH(B268,Policies!$A$2:$A$301,0)),"Policy # not found"))</f>
        <v/>
      </c>
      <c r="F268" s="28" t="n"/>
    </row>
    <row r="269">
      <c r="A269" s="31" t="n"/>
      <c r="B269" s="28" t="n"/>
      <c r="C269" s="30" t="n"/>
      <c r="D269" s="28" t="n"/>
      <c r="E269" s="34">
        <f>IF(B269="","",IFERROR(INDEX(Policies!$B$2:$B$301,MATCH(B269,Policies!$A$2:$A$301,0)),"Policy # not found"))</f>
        <v/>
      </c>
      <c r="F269" s="28" t="n"/>
    </row>
    <row r="270">
      <c r="A270" s="31" t="n"/>
      <c r="B270" s="28" t="n"/>
      <c r="C270" s="30" t="n"/>
      <c r="D270" s="28" t="n"/>
      <c r="E270" s="34">
        <f>IF(B270="","",IFERROR(INDEX(Policies!$B$2:$B$301,MATCH(B270,Policies!$A$2:$A$301,0)),"Policy # not found"))</f>
        <v/>
      </c>
      <c r="F270" s="28" t="n"/>
    </row>
    <row r="271">
      <c r="A271" s="31" t="n"/>
      <c r="B271" s="28" t="n"/>
      <c r="C271" s="30" t="n"/>
      <c r="D271" s="28" t="n"/>
      <c r="E271" s="34">
        <f>IF(B271="","",IFERROR(INDEX(Policies!$B$2:$B$301,MATCH(B271,Policies!$A$2:$A$301,0)),"Policy # not found"))</f>
        <v/>
      </c>
      <c r="F271" s="28" t="n"/>
    </row>
    <row r="272">
      <c r="A272" s="31" t="n"/>
      <c r="B272" s="28" t="n"/>
      <c r="C272" s="30" t="n"/>
      <c r="D272" s="28" t="n"/>
      <c r="E272" s="34">
        <f>IF(B272="","",IFERROR(INDEX(Policies!$B$2:$B$301,MATCH(B272,Policies!$A$2:$A$301,0)),"Policy # not found"))</f>
        <v/>
      </c>
      <c r="F272" s="28" t="n"/>
    </row>
    <row r="273">
      <c r="A273" s="31" t="n"/>
      <c r="B273" s="28" t="n"/>
      <c r="C273" s="30" t="n"/>
      <c r="D273" s="28" t="n"/>
      <c r="E273" s="34">
        <f>IF(B273="","",IFERROR(INDEX(Policies!$B$2:$B$301,MATCH(B273,Policies!$A$2:$A$301,0)),"Policy # not found"))</f>
        <v/>
      </c>
      <c r="F273" s="28" t="n"/>
    </row>
    <row r="274">
      <c r="A274" s="31" t="n"/>
      <c r="B274" s="28" t="n"/>
      <c r="C274" s="30" t="n"/>
      <c r="D274" s="28" t="n"/>
      <c r="E274" s="34">
        <f>IF(B274="","",IFERROR(INDEX(Policies!$B$2:$B$301,MATCH(B274,Policies!$A$2:$A$301,0)),"Policy # not found"))</f>
        <v/>
      </c>
      <c r="F274" s="28" t="n"/>
    </row>
    <row r="275">
      <c r="A275" s="31" t="n"/>
      <c r="B275" s="28" t="n"/>
      <c r="C275" s="30" t="n"/>
      <c r="D275" s="28" t="n"/>
      <c r="E275" s="34">
        <f>IF(B275="","",IFERROR(INDEX(Policies!$B$2:$B$301,MATCH(B275,Policies!$A$2:$A$301,0)),"Policy # not found"))</f>
        <v/>
      </c>
      <c r="F275" s="28" t="n"/>
    </row>
    <row r="276">
      <c r="A276" s="31" t="n"/>
      <c r="B276" s="28" t="n"/>
      <c r="C276" s="30" t="n"/>
      <c r="D276" s="28" t="n"/>
      <c r="E276" s="34">
        <f>IF(B276="","",IFERROR(INDEX(Policies!$B$2:$B$301,MATCH(B276,Policies!$A$2:$A$301,0)),"Policy # not found"))</f>
        <v/>
      </c>
      <c r="F276" s="28" t="n"/>
    </row>
    <row r="277">
      <c r="A277" s="31" t="n"/>
      <c r="B277" s="28" t="n"/>
      <c r="C277" s="30" t="n"/>
      <c r="D277" s="28" t="n"/>
      <c r="E277" s="34">
        <f>IF(B277="","",IFERROR(INDEX(Policies!$B$2:$B$301,MATCH(B277,Policies!$A$2:$A$301,0)),"Policy # not found"))</f>
        <v/>
      </c>
      <c r="F277" s="28" t="n"/>
    </row>
    <row r="278">
      <c r="A278" s="31" t="n"/>
      <c r="B278" s="28" t="n"/>
      <c r="C278" s="30" t="n"/>
      <c r="D278" s="28" t="n"/>
      <c r="E278" s="34">
        <f>IF(B278="","",IFERROR(INDEX(Policies!$B$2:$B$301,MATCH(B278,Policies!$A$2:$A$301,0)),"Policy # not found"))</f>
        <v/>
      </c>
      <c r="F278" s="28" t="n"/>
    </row>
    <row r="279">
      <c r="A279" s="31" t="n"/>
      <c r="B279" s="28" t="n"/>
      <c r="C279" s="30" t="n"/>
      <c r="D279" s="28" t="n"/>
      <c r="E279" s="34">
        <f>IF(B279="","",IFERROR(INDEX(Policies!$B$2:$B$301,MATCH(B279,Policies!$A$2:$A$301,0)),"Policy # not found"))</f>
        <v/>
      </c>
      <c r="F279" s="28" t="n"/>
    </row>
    <row r="280">
      <c r="A280" s="31" t="n"/>
      <c r="B280" s="28" t="n"/>
      <c r="C280" s="30" t="n"/>
      <c r="D280" s="28" t="n"/>
      <c r="E280" s="34">
        <f>IF(B280="","",IFERROR(INDEX(Policies!$B$2:$B$301,MATCH(B280,Policies!$A$2:$A$301,0)),"Policy # not found"))</f>
        <v/>
      </c>
      <c r="F280" s="28" t="n"/>
    </row>
    <row r="281">
      <c r="A281" s="31" t="n"/>
      <c r="B281" s="28" t="n"/>
      <c r="C281" s="30" t="n"/>
      <c r="D281" s="28" t="n"/>
      <c r="E281" s="34">
        <f>IF(B281="","",IFERROR(INDEX(Policies!$B$2:$B$301,MATCH(B281,Policies!$A$2:$A$301,0)),"Policy # not found"))</f>
        <v/>
      </c>
      <c r="F281" s="28" t="n"/>
    </row>
    <row r="282">
      <c r="A282" s="31" t="n"/>
      <c r="B282" s="28" t="n"/>
      <c r="C282" s="30" t="n"/>
      <c r="D282" s="28" t="n"/>
      <c r="E282" s="34">
        <f>IF(B282="","",IFERROR(INDEX(Policies!$B$2:$B$301,MATCH(B282,Policies!$A$2:$A$301,0)),"Policy # not found"))</f>
        <v/>
      </c>
      <c r="F282" s="28" t="n"/>
    </row>
    <row r="283">
      <c r="A283" s="31" t="n"/>
      <c r="B283" s="28" t="n"/>
      <c r="C283" s="30" t="n"/>
      <c r="D283" s="28" t="n"/>
      <c r="E283" s="34">
        <f>IF(B283="","",IFERROR(INDEX(Policies!$B$2:$B$301,MATCH(B283,Policies!$A$2:$A$301,0)),"Policy # not found"))</f>
        <v/>
      </c>
      <c r="F283" s="28" t="n"/>
    </row>
    <row r="284">
      <c r="A284" s="31" t="n"/>
      <c r="B284" s="28" t="n"/>
      <c r="C284" s="30" t="n"/>
      <c r="D284" s="28" t="n"/>
      <c r="E284" s="34">
        <f>IF(B284="","",IFERROR(INDEX(Policies!$B$2:$B$301,MATCH(B284,Policies!$A$2:$A$301,0)),"Policy # not found"))</f>
        <v/>
      </c>
      <c r="F284" s="28" t="n"/>
    </row>
    <row r="285">
      <c r="A285" s="31" t="n"/>
      <c r="B285" s="28" t="n"/>
      <c r="C285" s="30" t="n"/>
      <c r="D285" s="28" t="n"/>
      <c r="E285" s="34">
        <f>IF(B285="","",IFERROR(INDEX(Policies!$B$2:$B$301,MATCH(B285,Policies!$A$2:$A$301,0)),"Policy # not found"))</f>
        <v/>
      </c>
      <c r="F285" s="28" t="n"/>
    </row>
    <row r="286">
      <c r="A286" s="31" t="n"/>
      <c r="B286" s="28" t="n"/>
      <c r="C286" s="30" t="n"/>
      <c r="D286" s="28" t="n"/>
      <c r="E286" s="34">
        <f>IF(B286="","",IFERROR(INDEX(Policies!$B$2:$B$301,MATCH(B286,Policies!$A$2:$A$301,0)),"Policy # not found"))</f>
        <v/>
      </c>
      <c r="F286" s="28" t="n"/>
    </row>
    <row r="287">
      <c r="A287" s="31" t="n"/>
      <c r="B287" s="28" t="n"/>
      <c r="C287" s="30" t="n"/>
      <c r="D287" s="28" t="n"/>
      <c r="E287" s="34">
        <f>IF(B287="","",IFERROR(INDEX(Policies!$B$2:$B$301,MATCH(B287,Policies!$A$2:$A$301,0)),"Policy # not found"))</f>
        <v/>
      </c>
      <c r="F287" s="28" t="n"/>
    </row>
    <row r="288">
      <c r="A288" s="31" t="n"/>
      <c r="B288" s="28" t="n"/>
      <c r="C288" s="30" t="n"/>
      <c r="D288" s="28" t="n"/>
      <c r="E288" s="34">
        <f>IF(B288="","",IFERROR(INDEX(Policies!$B$2:$B$301,MATCH(B288,Policies!$A$2:$A$301,0)),"Policy # not found"))</f>
        <v/>
      </c>
      <c r="F288" s="28" t="n"/>
    </row>
    <row r="289">
      <c r="A289" s="31" t="n"/>
      <c r="B289" s="28" t="n"/>
      <c r="C289" s="30" t="n"/>
      <c r="D289" s="28" t="n"/>
      <c r="E289" s="34">
        <f>IF(B289="","",IFERROR(INDEX(Policies!$B$2:$B$301,MATCH(B289,Policies!$A$2:$A$301,0)),"Policy # not found"))</f>
        <v/>
      </c>
      <c r="F289" s="28" t="n"/>
    </row>
    <row r="290">
      <c r="A290" s="31" t="n"/>
      <c r="B290" s="28" t="n"/>
      <c r="C290" s="30" t="n"/>
      <c r="D290" s="28" t="n"/>
      <c r="E290" s="34">
        <f>IF(B290="","",IFERROR(INDEX(Policies!$B$2:$B$301,MATCH(B290,Policies!$A$2:$A$301,0)),"Policy # not found"))</f>
        <v/>
      </c>
      <c r="F290" s="28" t="n"/>
    </row>
    <row r="291">
      <c r="A291" s="31" t="n"/>
      <c r="B291" s="28" t="n"/>
      <c r="C291" s="30" t="n"/>
      <c r="D291" s="28" t="n"/>
      <c r="E291" s="34">
        <f>IF(B291="","",IFERROR(INDEX(Policies!$B$2:$B$301,MATCH(B291,Policies!$A$2:$A$301,0)),"Policy # not found"))</f>
        <v/>
      </c>
      <c r="F291" s="28" t="n"/>
    </row>
    <row r="292">
      <c r="A292" s="31" t="n"/>
      <c r="B292" s="28" t="n"/>
      <c r="C292" s="30" t="n"/>
      <c r="D292" s="28" t="n"/>
      <c r="E292" s="34">
        <f>IF(B292="","",IFERROR(INDEX(Policies!$B$2:$B$301,MATCH(B292,Policies!$A$2:$A$301,0)),"Policy # not found"))</f>
        <v/>
      </c>
      <c r="F292" s="28" t="n"/>
    </row>
    <row r="293">
      <c r="A293" s="31" t="n"/>
      <c r="B293" s="28" t="n"/>
      <c r="C293" s="30" t="n"/>
      <c r="D293" s="28" t="n"/>
      <c r="E293" s="34">
        <f>IF(B293="","",IFERROR(INDEX(Policies!$B$2:$B$301,MATCH(B293,Policies!$A$2:$A$301,0)),"Policy # not found"))</f>
        <v/>
      </c>
      <c r="F293" s="28" t="n"/>
    </row>
    <row r="294">
      <c r="A294" s="31" t="n"/>
      <c r="B294" s="28" t="n"/>
      <c r="C294" s="30" t="n"/>
      <c r="D294" s="28" t="n"/>
      <c r="E294" s="34">
        <f>IF(B294="","",IFERROR(INDEX(Policies!$B$2:$B$301,MATCH(B294,Policies!$A$2:$A$301,0)),"Policy # not found"))</f>
        <v/>
      </c>
      <c r="F294" s="28" t="n"/>
    </row>
    <row r="295">
      <c r="A295" s="31" t="n"/>
      <c r="B295" s="28" t="n"/>
      <c r="C295" s="30" t="n"/>
      <c r="D295" s="28" t="n"/>
      <c r="E295" s="34">
        <f>IF(B295="","",IFERROR(INDEX(Policies!$B$2:$B$301,MATCH(B295,Policies!$A$2:$A$301,0)),"Policy # not found"))</f>
        <v/>
      </c>
      <c r="F295" s="28" t="n"/>
    </row>
    <row r="296">
      <c r="A296" s="31" t="n"/>
      <c r="B296" s="28" t="n"/>
      <c r="C296" s="30" t="n"/>
      <c r="D296" s="28" t="n"/>
      <c r="E296" s="34">
        <f>IF(B296="","",IFERROR(INDEX(Policies!$B$2:$B$301,MATCH(B296,Policies!$A$2:$A$301,0)),"Policy # not found"))</f>
        <v/>
      </c>
      <c r="F296" s="28" t="n"/>
    </row>
    <row r="297">
      <c r="A297" s="31" t="n"/>
      <c r="B297" s="28" t="n"/>
      <c r="C297" s="30" t="n"/>
      <c r="D297" s="28" t="n"/>
      <c r="E297" s="34">
        <f>IF(B297="","",IFERROR(INDEX(Policies!$B$2:$B$301,MATCH(B297,Policies!$A$2:$A$301,0)),"Policy # not found"))</f>
        <v/>
      </c>
      <c r="F297" s="28" t="n"/>
    </row>
    <row r="298">
      <c r="A298" s="31" t="n"/>
      <c r="B298" s="28" t="n"/>
      <c r="C298" s="30" t="n"/>
      <c r="D298" s="28" t="n"/>
      <c r="E298" s="34">
        <f>IF(B298="","",IFERROR(INDEX(Policies!$B$2:$B$301,MATCH(B298,Policies!$A$2:$A$301,0)),"Policy # not found"))</f>
        <v/>
      </c>
      <c r="F298" s="28" t="n"/>
    </row>
    <row r="299">
      <c r="A299" s="31" t="n"/>
      <c r="B299" s="28" t="n"/>
      <c r="C299" s="30" t="n"/>
      <c r="D299" s="28" t="n"/>
      <c r="E299" s="34">
        <f>IF(B299="","",IFERROR(INDEX(Policies!$B$2:$B$301,MATCH(B299,Policies!$A$2:$A$301,0)),"Policy # not found"))</f>
        <v/>
      </c>
      <c r="F299" s="28" t="n"/>
    </row>
    <row r="300">
      <c r="A300" s="31" t="n"/>
      <c r="B300" s="28" t="n"/>
      <c r="C300" s="30" t="n"/>
      <c r="D300" s="28" t="n"/>
      <c r="E300" s="34">
        <f>IF(B300="","",IFERROR(INDEX(Policies!$B$2:$B$301,MATCH(B300,Policies!$A$2:$A$301,0)),"Policy # not found"))</f>
        <v/>
      </c>
      <c r="F300" s="28" t="n"/>
    </row>
    <row r="301">
      <c r="A301" s="31" t="n"/>
      <c r="B301" s="28" t="n"/>
      <c r="C301" s="30" t="n"/>
      <c r="D301" s="28" t="n"/>
      <c r="E301" s="34">
        <f>IF(B301="","",IFERROR(INDEX(Policies!$B$2:$B$301,MATCH(B301,Policies!$A$2:$A$301,0)),"Policy # not found"))</f>
        <v/>
      </c>
      <c r="F301" s="28" t="n"/>
    </row>
  </sheetData>
  <autoFilter ref="A1:F301"/>
  <dataValidations count="1">
    <dataValidation sqref="D2:D301" showDropDown="0" showInputMessage="0" showErrorMessage="0" allowBlank="1" errorTitle="Invalid entry" error="Pick a value from the list (edit the Lists sheet to add options)." type="list">
      <formula1>=Lists!$E$2:$E$6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9" t="inlineStr">
        <is>
          <t>Policy Type</t>
        </is>
      </c>
      <c r="B1" s="9" t="inlineStr">
        <is>
          <t>Status</t>
        </is>
      </c>
      <c r="C1" s="9" t="inlineStr">
        <is>
          <t>Frequency</t>
        </is>
      </c>
      <c r="D1" s="9" t="inlineStr">
        <is>
          <t>Payments / Year</t>
        </is>
      </c>
      <c r="E1" s="9" t="inlineStr">
        <is>
          <t>Payment Method</t>
        </is>
      </c>
      <c r="F1" s="9" t="inlineStr">
        <is>
          <t>Beneficiary Type</t>
        </is>
      </c>
      <c r="G1" s="9" t="inlineStr">
        <is>
          <t>Relationship</t>
        </is>
      </c>
    </row>
    <row r="2">
      <c r="A2" s="36" t="inlineStr">
        <is>
          <t>Term</t>
        </is>
      </c>
      <c r="B2" s="36" t="inlineStr">
        <is>
          <t>Quoted</t>
        </is>
      </c>
      <c r="C2" s="36" t="inlineStr">
        <is>
          <t>Monthly</t>
        </is>
      </c>
      <c r="D2" s="36" t="n">
        <v>12</v>
      </c>
      <c r="E2" s="36" t="inlineStr">
        <is>
          <t>Bank Draft</t>
        </is>
      </c>
      <c r="F2" s="36" t="inlineStr">
        <is>
          <t>Primary</t>
        </is>
      </c>
      <c r="G2" s="36" t="inlineStr">
        <is>
          <t>Spouse</t>
        </is>
      </c>
    </row>
    <row r="3">
      <c r="A3" s="36" t="inlineStr">
        <is>
          <t>Whole Life</t>
        </is>
      </c>
      <c r="B3" s="36" t="inlineStr">
        <is>
          <t>Application Submitted</t>
        </is>
      </c>
      <c r="C3" s="36" t="inlineStr">
        <is>
          <t>Quarterly</t>
        </is>
      </c>
      <c r="D3" s="36" t="n">
        <v>4</v>
      </c>
      <c r="E3" s="36" t="inlineStr">
        <is>
          <t>Credit Card</t>
        </is>
      </c>
      <c r="F3" s="36" t="inlineStr">
        <is>
          <t>Contingent</t>
        </is>
      </c>
      <c r="G3" s="36" t="inlineStr">
        <is>
          <t>Child</t>
        </is>
      </c>
    </row>
    <row r="4">
      <c r="A4" s="36" t="inlineStr">
        <is>
          <t>Universal Life</t>
        </is>
      </c>
      <c r="B4" s="36" t="inlineStr">
        <is>
          <t>Underwriting</t>
        </is>
      </c>
      <c r="C4" s="36" t="inlineStr">
        <is>
          <t>Semi-Annual</t>
        </is>
      </c>
      <c r="D4" s="36" t="n">
        <v>2</v>
      </c>
      <c r="E4" s="36" t="inlineStr">
        <is>
          <t>Check</t>
        </is>
      </c>
      <c r="G4" s="36" t="inlineStr">
        <is>
          <t>Parent</t>
        </is>
      </c>
    </row>
    <row r="5">
      <c r="A5" s="36" t="inlineStr">
        <is>
          <t>Indexed UL</t>
        </is>
      </c>
      <c r="B5" s="36" t="inlineStr">
        <is>
          <t>Approved</t>
        </is>
      </c>
      <c r="C5" s="36" t="inlineStr">
        <is>
          <t>Annual</t>
        </is>
      </c>
      <c r="D5" s="36" t="n">
        <v>1</v>
      </c>
      <c r="E5" s="36" t="inlineStr">
        <is>
          <t>Payroll Deduction</t>
        </is>
      </c>
      <c r="G5" s="36" t="inlineStr">
        <is>
          <t>Sibling</t>
        </is>
      </c>
    </row>
    <row r="6">
      <c r="A6" s="36" t="inlineStr">
        <is>
          <t>Variable UL</t>
        </is>
      </c>
      <c r="B6" s="36" t="inlineStr">
        <is>
          <t>In Force</t>
        </is>
      </c>
      <c r="C6" s="36" t="inlineStr">
        <is>
          <t>Single Pay</t>
        </is>
      </c>
      <c r="D6" s="36" t="n">
        <v>0</v>
      </c>
      <c r="E6" s="36" t="inlineStr">
        <is>
          <t>Other</t>
        </is>
      </c>
      <c r="G6" s="36" t="inlineStr">
        <is>
          <t>Other Relative</t>
        </is>
      </c>
    </row>
    <row r="7">
      <c r="A7" s="36" t="inlineStr">
        <is>
          <t>Final Expense</t>
        </is>
      </c>
      <c r="B7" s="36" t="inlineStr">
        <is>
          <t>Lapsed</t>
        </is>
      </c>
      <c r="G7" s="36" t="inlineStr">
        <is>
          <t>Trust</t>
        </is>
      </c>
    </row>
    <row r="8">
      <c r="A8" s="36" t="inlineStr">
        <is>
          <t>Group / Employer</t>
        </is>
      </c>
      <c r="B8" s="36" t="inlineStr">
        <is>
          <t>Cancelled</t>
        </is>
      </c>
      <c r="G8" s="36" t="inlineStr">
        <is>
          <t>Estate</t>
        </is>
      </c>
    </row>
    <row r="9">
      <c r="A9" s="36" t="inlineStr">
        <is>
          <t>Other</t>
        </is>
      </c>
      <c r="B9" s="36" t="inlineStr">
        <is>
          <t>Declined</t>
        </is>
      </c>
      <c r="G9" s="36" t="inlineStr">
        <is>
          <t>Business</t>
        </is>
      </c>
    </row>
    <row r="10">
      <c r="B10" s="36" t="inlineStr">
        <is>
          <t>Paid Out</t>
        </is>
      </c>
      <c r="G10" s="36" t="inlineStr">
        <is>
          <t>Other</t>
        </is>
      </c>
    </row>
    <row r="13">
      <c r="A13" s="8" t="inlineStr">
        <is>
          <t>Payments / Year lines up with Frequency and drives Annual Premium.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2026-09-26T05:07:21Z</dcterms:created>
  <dcterms:modified xsi:type="dcterms:W3CDTF">2026-09-26T05:07:22Z</dcterms:modified>
</cp:coreProperties>
</file>